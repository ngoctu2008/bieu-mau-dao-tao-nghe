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Thông tin hoc sinh" sheetId="2" state="visible" r:id="rId2"/>
    <sheet xmlns:r="http://schemas.openxmlformats.org/officeDocument/2006/relationships" name="DSTN" sheetId="3" state="visible" r:id="rId3"/>
    <sheet xmlns:r="http://schemas.openxmlformats.org/officeDocument/2006/relationships" name="Theo dõi ngày thực học" sheetId="4" state="visible" r:id="rId4"/>
    <sheet xmlns:r="http://schemas.openxmlformats.org/officeDocument/2006/relationships" name="Xét KTKT Khóa học" sheetId="5" state="visible" r:id="rId5"/>
    <sheet xmlns:r="http://schemas.openxmlformats.org/officeDocument/2006/relationships" name="Bảng tổng hợp điểm" sheetId="6" state="visible" r:id="rId6"/>
    <sheet xmlns:r="http://schemas.openxmlformats.org/officeDocument/2006/relationships" name="Điểm khóa học" sheetId="7" state="visible" r:id="rId7"/>
    <sheet xmlns:r="http://schemas.openxmlformats.org/officeDocument/2006/relationships" name="Công nhận tốt nghiệp" sheetId="8" state="visible" r:id="rId8"/>
    <sheet xmlns:r="http://schemas.openxmlformats.org/officeDocument/2006/relationships" name="IDs" sheetId="9" state="visible" r:id="rId9"/>
  </sheets>
  <definedNames>
    <definedName name="TEN_NGHE" hidden="0" function="0" vbProcedure="0">IDs!$B$4:$B$33</definedName>
    <definedName name="_xlfn_COUNTIFS" hidden="0" function="0" vbProcedure="0">none</definedName>
    <definedName name="Excel_BuiltIn_Print_Titles" localSheetId="1" hidden="0" function="0" vbProcedure="0">#REF!</definedName>
    <definedName name="_xlnm.Print_Area" localSheetId="1">'Thông tin hoc sinh'!$A$1:$H$38</definedName>
    <definedName name="_xlnm.Print_Titles" localSheetId="2">'DSTN'!$9:$9</definedName>
    <definedName name="_xlnm.Print_Area" localSheetId="2">'DSTN'!$A$1:$M$62</definedName>
    <definedName name="_xlnm.Print_Titles" localSheetId="7">'Công nhận tốt nghiệp'!$7:$7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9">
    <numFmt numFmtId="164" formatCode="0?"/>
    <numFmt numFmtId="165" formatCode="0.0%"/>
    <numFmt numFmtId="166" formatCode="&quot;19&quot;??"/>
    <numFmt numFmtId="167" formatCode="00"/>
    <numFmt numFmtId="168" formatCode="m/d;@"/>
    <numFmt numFmtId="169" formatCode="?/12"/>
    <numFmt numFmtId="170" formatCode="?&quot;/12&quot;"/>
    <numFmt numFmtId="171" formatCode="0.0"/>
    <numFmt numFmtId="172" formatCode="?&quot; tháng&quot;"/>
  </numFmts>
  <fonts count="49">
    <font>
      <name val=".VnTime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63"/>
      <family val="1"/>
      <sz val="14"/>
    </font>
    <font>
      <name val="Times New Roman"/>
      <charset val="163"/>
      <family val="1"/>
      <b val="1"/>
      <color rgb="FF333399"/>
      <sz val="14"/>
    </font>
    <font>
      <name val="Times New Roman"/>
      <charset val="163"/>
      <family val="1"/>
      <b val="1"/>
      <sz val="14"/>
    </font>
    <font>
      <name val="Times New Roman"/>
      <charset val="163"/>
      <family val="1"/>
      <color rgb="FF003366"/>
      <sz val="14"/>
    </font>
    <font>
      <name val="Times New Roman"/>
      <charset val="163"/>
      <family val="1"/>
      <b val="1"/>
      <color rgb="FF003366"/>
      <sz val="14"/>
    </font>
    <font>
      <name val="Times New Roman"/>
      <charset val="163"/>
      <family val="1"/>
      <b val="1"/>
      <color rgb="FF333399"/>
      <sz val="12"/>
    </font>
    <font>
      <name val=".VnTime"/>
      <family val="0"/>
      <color rgb="FF0000FF"/>
      <sz val="12"/>
      <u val="single"/>
    </font>
    <font>
      <name val="Times New Roman"/>
      <charset val="163"/>
      <family val="1"/>
      <b val="1"/>
      <color rgb="FF993300"/>
      <sz val="14"/>
    </font>
    <font>
      <name val="Times New Roman"/>
      <charset val="163"/>
      <family val="1"/>
      <b val="1"/>
      <color rgb="FF993300"/>
      <sz val="12"/>
    </font>
    <font>
      <name val="Times New Roman"/>
      <charset val="163"/>
      <family val="1"/>
      <color rgb="FF993300"/>
      <sz val="14"/>
    </font>
    <font>
      <name val="Times New Roman"/>
      <family val="1"/>
      <sz val="12"/>
    </font>
    <font>
      <name val="Times New Roman"/>
      <family val="1"/>
      <b val="1"/>
      <sz val="13"/>
    </font>
    <font>
      <name val="Times New Roman"/>
      <family val="1"/>
      <b val="1"/>
      <sz val="12"/>
    </font>
    <font>
      <name val="Times New Roman"/>
      <charset val="163"/>
      <family val="1"/>
      <b val="1"/>
      <sz val="13"/>
    </font>
    <font>
      <name val="Times New Roman"/>
      <family val="1"/>
      <sz val="13"/>
    </font>
    <font>
      <name val="Times New Roman"/>
      <family val="1"/>
      <sz val="14"/>
    </font>
    <font>
      <name val="Times New Roman"/>
      <family val="1"/>
      <color rgb="FF000000"/>
      <sz val="14"/>
    </font>
    <font>
      <name val="Times New Roman"/>
      <family val="1"/>
      <sz val="14"/>
      <u val="single"/>
    </font>
    <font>
      <name val="Times New Roman"/>
      <family val="1"/>
      <b val="1"/>
      <sz val="16"/>
    </font>
    <font>
      <name val="Times New Roman"/>
      <family val="1"/>
      <b val="1"/>
      <sz val="14"/>
    </font>
    <font>
      <name val="Times New Roman"/>
      <family val="1"/>
      <i val="1"/>
      <sz val="14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i val="1"/>
      <sz val="11"/>
    </font>
    <font>
      <name val="Times New Roman"/>
      <charset val="163"/>
      <family val="1"/>
      <b val="1"/>
      <i val="1"/>
      <sz val="11"/>
    </font>
    <font>
      <name val="Times New Roman"/>
      <charset val="163"/>
      <family val="1"/>
      <sz val="11"/>
    </font>
    <font>
      <name val="Times New Roman"/>
      <family val="1"/>
      <sz val="10"/>
    </font>
    <font>
      <name val="Times New Roman"/>
      <charset val="163"/>
      <family val="1"/>
      <b val="1"/>
      <sz val="12"/>
    </font>
    <font>
      <name val="Times New Roman"/>
      <family val="1"/>
      <b val="1"/>
      <sz val="10"/>
    </font>
    <font>
      <name val=".VnTime"/>
      <family val="2"/>
      <sz val="12"/>
    </font>
    <font>
      <name val="Times New Roman"/>
      <family val="1"/>
      <color rgb="FFFF0000"/>
      <sz val="12"/>
    </font>
    <font>
      <name val=".VnTime"/>
      <family val="2"/>
      <sz val="13"/>
    </font>
    <font>
      <name val="Times New Roman"/>
      <charset val="163"/>
      <family val="1"/>
      <i val="1"/>
      <sz val="10"/>
    </font>
    <font>
      <name val="Times New Roman"/>
      <family val="1"/>
      <color rgb="FF000000"/>
      <sz val="12"/>
    </font>
    <font>
      <name val="Times New Roman"/>
      <charset val="163"/>
      <family val="1"/>
      <sz val="12"/>
    </font>
    <font>
      <name val="Times New Roman"/>
      <family val="1"/>
      <i val="1"/>
      <color rgb="FF000000"/>
      <sz val="14"/>
    </font>
    <font>
      <name val=".VnTimeH"/>
      <family val="2"/>
      <sz val="14"/>
    </font>
    <font>
      <name val=".VnTime"/>
      <family val="2"/>
      <b val="1"/>
      <sz val="12"/>
    </font>
    <font>
      <name val="Times New Roman"/>
      <charset val="163"/>
      <family val="1"/>
      <b val="1"/>
      <sz val="11"/>
    </font>
    <font>
      <name val="Times New Roman"/>
      <charset val="163"/>
      <family val="1"/>
      <sz val="13"/>
    </font>
    <font>
      <name val="Times New Roman"/>
      <charset val="163"/>
      <family val="1"/>
      <b val="1"/>
      <sz val="16"/>
    </font>
    <font>
      <name val="Times New Roman"/>
      <charset val="163"/>
      <family val="1"/>
      <i val="1"/>
      <sz val="12"/>
    </font>
    <font>
      <name val="Times New Roman"/>
      <charset val="163"/>
      <family val="1"/>
      <i val="1"/>
      <sz val="13"/>
    </font>
    <font>
      <name val="Times New Roman"/>
      <charset val="163"/>
      <family val="1"/>
      <color rgb="FF000000"/>
      <sz val="13"/>
    </font>
    <font>
      <name val="Times New Roman"/>
      <charset val="163"/>
      <family val="1"/>
      <i val="1"/>
      <sz val="14"/>
    </font>
  </fonts>
  <fills count="9">
    <fill>
      <patternFill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</fills>
  <borders count="3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dotted"/>
      <diagonal/>
    </border>
    <border>
      <left style="thin"/>
      <right/>
      <top style="thin"/>
      <bottom style="dotted"/>
      <diagonal/>
    </border>
    <border>
      <left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/>
      <top style="dotted"/>
      <bottom style="dotted"/>
      <diagonal/>
    </border>
    <border>
      <left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  <border>
      <left style="thin"/>
      <right/>
      <top style="dotted"/>
      <bottom style="thin"/>
      <diagonal/>
    </border>
    <border>
      <left/>
      <right style="thin"/>
      <top style="dotted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thin"/>
      <right style="dotted"/>
      <top style="thin"/>
      <bottom style="dotted"/>
      <diagonal/>
    </border>
    <border>
      <left style="dotted"/>
      <right style="thin"/>
      <top style="thin"/>
      <bottom style="dotted"/>
      <diagonal/>
    </border>
    <border>
      <left style="thin"/>
      <right style="dotted"/>
      <top style="dotted"/>
      <bottom style="dotted"/>
      <diagonal/>
    </border>
    <border>
      <left style="dotted"/>
      <right style="thin"/>
      <top style="dotted"/>
      <bottom style="dotted"/>
      <diagonal/>
    </border>
    <border>
      <left style="thin"/>
      <right style="dotted"/>
      <top style="dotted"/>
      <bottom style="thin"/>
      <diagonal/>
    </border>
    <border>
      <left style="dotted"/>
      <right style="thin"/>
      <top style="dotted"/>
      <bottom style="thin"/>
      <diagonal/>
    </border>
    <border>
      <left/>
      <right/>
      <top style="dotted"/>
      <bottom style="dotted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10" fillId="0" borderId="0"/>
  </cellStyleXfs>
  <cellXfs count="6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2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bottom"/>
    </xf>
    <xf numFmtId="164" fontId="7" fillId="3" borderId="2" applyAlignment="1" pivotButton="0" quotePrefix="0" xfId="0">
      <alignment horizontal="center" vertical="bottom"/>
    </xf>
    <xf numFmtId="0" fontId="4" fillId="4" borderId="2" applyAlignment="1" pivotButton="0" quotePrefix="0" xfId="0">
      <alignment horizontal="left" vertical="bottom"/>
    </xf>
    <xf numFmtId="0" fontId="6" fillId="5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7" fillId="3" borderId="2" applyAlignment="1" pivotButton="0" quotePrefix="0" xfId="0">
      <alignment horizontal="center" vertical="bottom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bottom"/>
    </xf>
    <xf numFmtId="0" fontId="8" fillId="2" borderId="2" applyAlignment="1" pivotButton="0" quotePrefix="0" xfId="0">
      <alignment horizontal="general" vertical="bottom"/>
    </xf>
    <xf numFmtId="0" fontId="8" fillId="2" borderId="2" applyAlignment="1" pivotButton="0" quotePrefix="0" xfId="0">
      <alignment horizontal="center" vertical="bottom"/>
    </xf>
    <xf numFmtId="0" fontId="7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center" vertical="bottom"/>
    </xf>
    <xf numFmtId="0" fontId="9" fillId="6" borderId="0" applyAlignment="1" pivotButton="0" quotePrefix="0" xfId="2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general" vertical="bottom"/>
    </xf>
    <xf numFmtId="0" fontId="11" fillId="2" borderId="2" applyAlignment="1" pivotButton="0" quotePrefix="0" xfId="0">
      <alignment horizontal="center" vertical="bottom"/>
    </xf>
    <xf numFmtId="0" fontId="11" fillId="2" borderId="2" applyAlignment="1" pivotButton="0" quotePrefix="0" xfId="0">
      <alignment horizontal="center" vertical="bottom"/>
    </xf>
    <xf numFmtId="0" fontId="12" fillId="2" borderId="2" applyAlignment="1" pivotButton="0" quotePrefix="0" xfId="0">
      <alignment horizontal="center" vertical="bottom"/>
    </xf>
    <xf numFmtId="0" fontId="13" fillId="2" borderId="2" applyAlignment="1" pivotButton="0" quotePrefix="0" xfId="0">
      <alignment horizontal="general" vertical="bottom"/>
    </xf>
    <xf numFmtId="164" fontId="13" fillId="2" borderId="2" applyAlignment="1" pivotButton="0" quotePrefix="0" xfId="0">
      <alignment horizontal="center" vertical="bottom"/>
    </xf>
    <xf numFmtId="165" fontId="13" fillId="2" borderId="2" applyAlignment="1" pivotButton="0" quotePrefix="0" xfId="19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2" applyAlignment="1" applyProtection="1" pivotButton="0" quotePrefix="0" xfId="0">
      <alignment horizontal="center" vertical="center" wrapText="1"/>
      <protection locked="0" hidden="0"/>
    </xf>
    <xf numFmtId="166" fontId="16" fillId="0" borderId="2" applyAlignment="1" applyProtection="1" pivotButton="0" quotePrefix="0" xfId="0">
      <alignment horizontal="center" vertical="center" wrapText="1"/>
      <protection locked="0" hidden="0"/>
    </xf>
    <xf numFmtId="0" fontId="16" fillId="0" borderId="2" applyAlignment="1" applyProtection="1" pivotButton="0" quotePrefix="0" xfId="0">
      <alignment horizontal="center" vertical="center" wrapText="1"/>
      <protection locked="0" hidden="0"/>
    </xf>
    <xf numFmtId="0" fontId="15" fillId="0" borderId="2" applyAlignment="1" applyProtection="1" pivotButton="0" quotePrefix="0" xfId="0">
      <alignment horizontal="center" vertical="center"/>
      <protection locked="0" hidden="0"/>
    </xf>
    <xf numFmtId="0" fontId="17" fillId="0" borderId="2" applyAlignment="1" applyProtection="1" pivotButton="0" quotePrefix="0" xfId="0">
      <alignment horizontal="center" vertical="center" wrapText="1"/>
      <protection locked="0" hidden="0"/>
    </xf>
    <xf numFmtId="0" fontId="17" fillId="0" borderId="2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18" fillId="0" borderId="0" applyAlignment="1" pivotButton="0" quotePrefix="0" xfId="0">
      <alignment horizontal="general" vertical="bottom"/>
    </xf>
    <xf numFmtId="0" fontId="16" fillId="0" borderId="3" applyAlignment="1" applyProtection="1" pivotButton="0" quotePrefix="0" xfId="0">
      <alignment horizontal="center" vertical="center" wrapText="1"/>
      <protection locked="0" hidden="0"/>
    </xf>
    <xf numFmtId="167" fontId="19" fillId="0" borderId="2" applyAlignment="1" applyProtection="1" pivotButton="0" quotePrefix="0" xfId="0">
      <alignment horizontal="center" vertical="center"/>
      <protection locked="0" hidden="0"/>
    </xf>
    <xf numFmtId="0" fontId="18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center" vertical="bottom"/>
    </xf>
    <xf numFmtId="0" fontId="20" fillId="0" borderId="2" applyAlignment="1" applyProtection="1" pivotButton="0" quotePrefix="0" xfId="0">
      <alignment horizontal="center" vertical="bottom"/>
      <protection locked="0" hidden="0"/>
    </xf>
    <xf numFmtId="0" fontId="19" fillId="0" borderId="2" applyAlignment="1" pivotButton="0" quotePrefix="0" xfId="0">
      <alignment horizontal="center" vertical="bottom"/>
    </xf>
    <xf numFmtId="0" fontId="20" fillId="0" borderId="2" applyAlignment="1" applyProtection="1" pivotButton="0" quotePrefix="0" xfId="0">
      <alignment horizontal="center" vertical="bottom"/>
      <protection locked="1" hidden="1"/>
    </xf>
    <xf numFmtId="0" fontId="4" fillId="0" borderId="2" applyAlignment="1" pivotButton="0" quotePrefix="0" xfId="0">
      <alignment horizontal="center" vertical="center"/>
    </xf>
    <xf numFmtId="0" fontId="20" fillId="0" borderId="2" applyAlignment="1" applyProtection="1" pivotButton="0" quotePrefix="0" xfId="0">
      <alignment horizontal="left" vertical="bottom"/>
      <protection locked="0" hidden="0"/>
    </xf>
    <xf numFmtId="0" fontId="19" fillId="0" borderId="2" applyAlignment="1" pivotButton="0" quotePrefix="0" xfId="0">
      <alignment horizontal="general" vertical="bottom"/>
    </xf>
    <xf numFmtId="0" fontId="19" fillId="0" borderId="2" applyAlignment="1" applyProtection="1" pivotButton="0" quotePrefix="0" xfId="0">
      <alignment horizontal="center" vertical="center"/>
      <protection locked="1" hidden="1"/>
    </xf>
    <xf numFmtId="0" fontId="19" fillId="0" borderId="2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19" fillId="0" borderId="2" applyAlignment="1" applyProtection="1" pivotButton="0" quotePrefix="0" xfId="0">
      <alignment horizontal="center" vertical="center"/>
      <protection locked="1" hidden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bottom"/>
    </xf>
    <xf numFmtId="167" fontId="19" fillId="0" borderId="2" applyAlignment="1" applyProtection="1" pivotButton="0" quotePrefix="0" xfId="0">
      <alignment horizontal="left" vertical="center"/>
      <protection locked="0" hidden="0"/>
    </xf>
    <xf numFmtId="0" fontId="19" fillId="0" borderId="2" applyAlignment="1" applyProtection="1" pivotButton="0" quotePrefix="0" xfId="0">
      <alignment horizontal="center" vertical="center"/>
      <protection locked="0" hidden="0"/>
    </xf>
    <xf numFmtId="0" fontId="20" fillId="0" borderId="2" applyAlignment="1" applyProtection="1" pivotButton="0" quotePrefix="0" xfId="0">
      <alignment horizontal="center" vertical="bottom"/>
      <protection locked="0" hidden="0"/>
    </xf>
    <xf numFmtId="0" fontId="20" fillId="0" borderId="2" applyAlignment="1" applyProtection="1" pivotButton="0" quotePrefix="0" xfId="0">
      <alignment horizontal="left" vertical="center"/>
      <protection locked="0" hidden="0"/>
    </xf>
    <xf numFmtId="168" fontId="20" fillId="0" borderId="2" applyAlignment="1" applyProtection="1" pivotButton="0" quotePrefix="0" xfId="0">
      <alignment horizontal="center" vertical="bottom"/>
      <protection locked="0" hidden="0"/>
    </xf>
    <xf numFmtId="0" fontId="20" fillId="0" borderId="2" applyAlignment="1" applyProtection="1" pivotButton="0" quotePrefix="0" xfId="0">
      <alignment horizontal="general" vertical="center"/>
      <protection locked="0" hidden="0"/>
    </xf>
    <xf numFmtId="0" fontId="18" fillId="0" borderId="2" applyAlignment="1" applyProtection="1" pivotButton="0" quotePrefix="0" xfId="0">
      <alignment horizontal="center" vertical="center"/>
      <protection locked="0" hidden="0"/>
    </xf>
    <xf numFmtId="0" fontId="18" fillId="0" borderId="2" applyAlignment="1" applyProtection="1" pivotButton="0" quotePrefix="0" xfId="0">
      <alignment horizontal="center" vertic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166" fontId="21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center" vertical="bottom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166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20" fillId="0" borderId="5" applyAlignment="1" pivotButton="0" quotePrefix="0" xfId="0">
      <alignment horizontal="general" vertical="bottom"/>
    </xf>
    <xf numFmtId="0" fontId="20" fillId="0" borderId="6" applyAlignment="1" pivotButton="0" quotePrefix="0" xfId="0">
      <alignment horizontal="general" vertical="bottom"/>
    </xf>
    <xf numFmtId="0" fontId="20" fillId="0" borderId="4" applyAlignment="1" pivotButton="0" quotePrefix="0" xfId="0">
      <alignment horizontal="center" vertical="bottom"/>
    </xf>
    <xf numFmtId="170" fontId="20" fillId="0" borderId="4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167" fontId="19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general" vertical="bottom"/>
    </xf>
    <xf numFmtId="0" fontId="20" fillId="0" borderId="9" applyAlignment="1" pivotButton="0" quotePrefix="0" xfId="0">
      <alignment horizontal="general" vertical="bottom"/>
    </xf>
    <xf numFmtId="0" fontId="20" fillId="0" borderId="7" applyAlignment="1" pivotButton="0" quotePrefix="0" xfId="0">
      <alignment horizontal="center" vertical="bottom"/>
    </xf>
    <xf numFmtId="170" fontId="20" fillId="0" borderId="7" applyAlignment="1" pivotButton="0" quotePrefix="0" xfId="0">
      <alignment horizontal="center" vertical="bottom"/>
    </xf>
    <xf numFmtId="0" fontId="19" fillId="0" borderId="7" applyAlignment="1" pivotButton="0" quotePrefix="0" xfId="0">
      <alignment horizontal="center" vertical="center"/>
    </xf>
    <xf numFmtId="167" fontId="19" fillId="0" borderId="10" applyAlignment="1" pivotButton="0" quotePrefix="0" xfId="0">
      <alignment horizontal="center" vertical="center"/>
    </xf>
    <xf numFmtId="0" fontId="20" fillId="0" borderId="11" applyAlignment="1" pivotButton="0" quotePrefix="0" xfId="0">
      <alignment horizontal="general" vertical="bottom"/>
    </xf>
    <xf numFmtId="0" fontId="20" fillId="0" borderId="12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bottom"/>
    </xf>
    <xf numFmtId="170" fontId="20" fillId="0" borderId="10" applyAlignment="1" pivotButton="0" quotePrefix="0" xfId="0">
      <alignment horizontal="center" vertical="bottom"/>
    </xf>
    <xf numFmtId="0" fontId="19" fillId="0" borderId="10" applyAlignment="1" pivotButton="0" quotePrefix="0" xfId="0">
      <alignment horizontal="center" vertical="center"/>
    </xf>
    <xf numFmtId="167" fontId="19" fillId="0" borderId="2" applyAlignment="1" pivotButton="0" quotePrefix="0" xfId="0">
      <alignment horizontal="center" vertical="center"/>
    </xf>
    <xf numFmtId="0" fontId="20" fillId="0" borderId="13" applyAlignment="1" pivotButton="0" quotePrefix="0" xfId="0">
      <alignment horizontal="general" vertical="bottom"/>
    </xf>
    <xf numFmtId="0" fontId="20" fillId="0" borderId="14" applyAlignment="1" pivotButton="0" quotePrefix="0" xfId="0">
      <alignment horizontal="general" vertical="bottom"/>
    </xf>
    <xf numFmtId="0" fontId="20" fillId="0" borderId="2" applyAlignment="1" pivotButton="0" quotePrefix="0" xfId="0">
      <alignment horizontal="center" vertical="bottom"/>
    </xf>
    <xf numFmtId="168" fontId="20" fillId="0" borderId="2" applyAlignment="1" pivotButton="0" quotePrefix="0" xfId="0">
      <alignment horizontal="center" vertical="bottom"/>
    </xf>
    <xf numFmtId="0" fontId="20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left" vertical="top"/>
    </xf>
    <xf numFmtId="0" fontId="25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left" vertical="top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/>
    </xf>
    <xf numFmtId="0" fontId="23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bottom"/>
    </xf>
    <xf numFmtId="0" fontId="16" fillId="0" borderId="15" applyAlignment="1" pivotButton="0" quotePrefix="0" xfId="0">
      <alignment horizontal="center" vertical="bottom"/>
    </xf>
    <xf numFmtId="0" fontId="16" fillId="0" borderId="16" applyAlignment="1" pivotButton="0" quotePrefix="0" xfId="0">
      <alignment horizontal="center" vertical="bottom"/>
    </xf>
    <xf numFmtId="167" fontId="14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0" fontId="14" fillId="0" borderId="17" applyAlignment="1" pivotButton="0" quotePrefix="0" xfId="0">
      <alignment horizontal="general" vertical="bottom"/>
    </xf>
    <xf numFmtId="0" fontId="14" fillId="0" borderId="18" applyAlignment="1" pivotButton="0" quotePrefix="0" xfId="0">
      <alignment horizontal="general" vertical="bottom"/>
    </xf>
    <xf numFmtId="167" fontId="14" fillId="0" borderId="7" applyAlignment="1" pivotButton="0" quotePrefix="0" xfId="0">
      <alignment horizontal="center" vertical="center"/>
    </xf>
    <xf numFmtId="0" fontId="14" fillId="0" borderId="19" applyAlignment="1" pivotButton="0" quotePrefix="0" xfId="0">
      <alignment horizontal="general" vertical="bottom"/>
    </xf>
    <xf numFmtId="0" fontId="14" fillId="0" borderId="2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4" fillId="0" borderId="19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7" fontId="14" fillId="0" borderId="10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14" fillId="0" borderId="23" applyAlignment="1" pivotButton="0" quotePrefix="0" xfId="0">
      <alignment horizontal="center" vertical="center"/>
    </xf>
    <xf numFmtId="0" fontId="14" fillId="0" borderId="23" applyAlignment="1" pivotButton="0" quotePrefix="0" xfId="0">
      <alignment horizontal="general" vertical="bottom"/>
    </xf>
    <xf numFmtId="166" fontId="14" fillId="0" borderId="23" applyAlignment="1" pivotButton="0" quotePrefix="0" xfId="0">
      <alignment horizontal="general" vertical="bottom"/>
    </xf>
    <xf numFmtId="0" fontId="18" fillId="0" borderId="23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 wrapText="1"/>
    </xf>
    <xf numFmtId="0" fontId="23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general" vertical="bottom"/>
    </xf>
    <xf numFmtId="0" fontId="14" fillId="0" borderId="4" applyAlignment="1" pivotButton="0" quotePrefix="0" xfId="0">
      <alignment horizontal="center" vertical="bottom"/>
    </xf>
    <xf numFmtId="0" fontId="14" fillId="0" borderId="4" applyAlignment="1" pivotButton="0" quotePrefix="0" xfId="0">
      <alignment horizontal="left" vertical="bottom"/>
    </xf>
    <xf numFmtId="0" fontId="14" fillId="0" borderId="4" applyAlignment="1" pivotButton="0" quotePrefix="0" xfId="0">
      <alignment horizontal="center" vertical="bottom"/>
    </xf>
    <xf numFmtId="0" fontId="14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horizontal="center" vertical="bottom"/>
    </xf>
    <xf numFmtId="0" fontId="34" fillId="0" borderId="4" applyAlignment="1" pivotButton="0" quotePrefix="0" xfId="0">
      <alignment horizontal="center" vertical="bottom"/>
    </xf>
    <xf numFmtId="0" fontId="33" fillId="0" borderId="0" applyAlignment="1" pivotButton="0" quotePrefix="0" xfId="0">
      <alignment horizontal="general" vertical="bottom"/>
    </xf>
    <xf numFmtId="0" fontId="14" fillId="0" borderId="7" applyAlignment="1" pivotButton="0" quotePrefix="0" xfId="0">
      <alignment horizontal="center" vertical="bottom"/>
    </xf>
    <xf numFmtId="0" fontId="14" fillId="0" borderId="7" applyAlignment="1" pivotButton="0" quotePrefix="0" xfId="0">
      <alignment horizontal="left" vertical="bottom"/>
    </xf>
    <xf numFmtId="0" fontId="14" fillId="0" borderId="7" applyAlignment="1" pivotButton="0" quotePrefix="0" xfId="0">
      <alignment horizontal="center" vertical="bottom"/>
    </xf>
    <xf numFmtId="0" fontId="14" fillId="0" borderId="7" applyAlignment="1" pivotButton="0" quotePrefix="0" xfId="0">
      <alignment horizontal="center" vertical="top" wrapText="1"/>
    </xf>
    <xf numFmtId="0" fontId="14" fillId="0" borderId="7" applyAlignment="1" pivotButton="0" quotePrefix="0" xfId="0">
      <alignment horizontal="center" vertical="bottom"/>
    </xf>
    <xf numFmtId="0" fontId="34" fillId="0" borderId="7" applyAlignment="1" pivotButton="0" quotePrefix="0" xfId="0">
      <alignment horizontal="center" vertical="bottom"/>
    </xf>
    <xf numFmtId="0" fontId="14" fillId="0" borderId="10" applyAlignment="1" pivotButton="0" quotePrefix="0" xfId="0">
      <alignment horizontal="center" vertical="bottom"/>
    </xf>
    <xf numFmtId="0" fontId="14" fillId="0" borderId="10" applyAlignment="1" pivotButton="0" quotePrefix="0" xfId="0">
      <alignment horizontal="left" vertical="bottom"/>
    </xf>
    <xf numFmtId="0" fontId="14" fillId="0" borderId="10" applyAlignment="1" pivotButton="0" quotePrefix="0" xfId="0">
      <alignment horizontal="center" vertical="bottom"/>
    </xf>
    <xf numFmtId="0" fontId="14" fillId="0" borderId="10" applyAlignment="1" pivotButton="0" quotePrefix="0" xfId="0">
      <alignment horizontal="center" vertical="top" wrapText="1"/>
    </xf>
    <xf numFmtId="0" fontId="14" fillId="0" borderId="10" applyAlignment="1" pivotButton="0" quotePrefix="0" xfId="0">
      <alignment horizontal="center" vertical="bottom"/>
    </xf>
    <xf numFmtId="0" fontId="34" fillId="0" borderId="10" applyAlignment="1" pivotButton="0" quotePrefix="0" xfId="0">
      <alignment horizontal="center" vertical="bottom"/>
    </xf>
    <xf numFmtId="0" fontId="19" fillId="0" borderId="24" applyAlignment="1" pivotButton="0" quotePrefix="0" xfId="0">
      <alignment horizontal="general" vertical="bottom"/>
    </xf>
    <xf numFmtId="0" fontId="14" fillId="0" borderId="24" applyAlignment="1" pivotButton="0" quotePrefix="0" xfId="0">
      <alignment horizontal="general" vertical="bottom"/>
    </xf>
    <xf numFmtId="0" fontId="19" fillId="0" borderId="24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 wrapText="1"/>
    </xf>
    <xf numFmtId="0" fontId="37" fillId="0" borderId="4" applyAlignment="1" pivotButton="0" quotePrefix="0" xfId="0">
      <alignment horizontal="left" vertical="center"/>
    </xf>
    <xf numFmtId="0" fontId="37" fillId="0" borderId="4" applyAlignment="1" pivotButton="0" quotePrefix="0" xfId="0">
      <alignment horizontal="center" vertical="center"/>
    </xf>
    <xf numFmtId="171" fontId="14" fillId="0" borderId="4" applyAlignment="1" pivotButton="0" quotePrefix="0" xfId="0">
      <alignment horizontal="center" vertical="bottom"/>
    </xf>
    <xf numFmtId="171" fontId="38" fillId="0" borderId="4" applyAlignment="1" pivotButton="0" quotePrefix="0" xfId="0">
      <alignment horizontal="center" vertical="bottom"/>
    </xf>
    <xf numFmtId="171" fontId="14" fillId="0" borderId="7" applyAlignment="1" pivotButton="0" quotePrefix="0" xfId="0">
      <alignment horizontal="center" vertical="bottom"/>
    </xf>
    <xf numFmtId="171" fontId="38" fillId="0" borderId="7" applyAlignment="1" pivotButton="0" quotePrefix="0" xfId="0">
      <alignment horizontal="center" vertical="bottom"/>
    </xf>
    <xf numFmtId="171" fontId="14" fillId="0" borderId="10" applyAlignment="1" pivotButton="0" quotePrefix="0" xfId="0">
      <alignment horizontal="center" vertical="bottom"/>
    </xf>
    <xf numFmtId="171" fontId="38" fillId="0" borderId="10" applyAlignment="1" pivotButton="0" quotePrefix="0" xfId="0">
      <alignment horizontal="center" vertical="bottom"/>
    </xf>
    <xf numFmtId="0" fontId="39" fillId="0" borderId="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bottom"/>
    </xf>
    <xf numFmtId="0" fontId="29" fillId="7" borderId="0" applyAlignment="1" pivotButton="0" quotePrefix="0" xfId="0">
      <alignment horizontal="center" vertical="bottom"/>
    </xf>
    <xf numFmtId="0" fontId="42" fillId="7" borderId="0" applyAlignment="1" pivotButton="0" quotePrefix="0" xfId="0">
      <alignment horizontal="center" vertical="bottom"/>
    </xf>
    <xf numFmtId="0" fontId="29" fillId="5" borderId="0" applyAlignment="1" pivotButton="0" quotePrefix="0" xfId="0">
      <alignment horizontal="center" vertical="bottom"/>
    </xf>
    <xf numFmtId="0" fontId="42" fillId="5" borderId="0" applyAlignment="1" pivotButton="0" quotePrefix="0" xfId="0">
      <alignment horizontal="center" vertical="bottom"/>
    </xf>
    <xf numFmtId="0" fontId="29" fillId="8" borderId="0" applyAlignment="1" pivotButton="0" quotePrefix="0" xfId="0">
      <alignment horizontal="center" vertical="bottom"/>
    </xf>
    <xf numFmtId="0" fontId="42" fillId="8" borderId="0" applyAlignment="1" pivotButton="0" quotePrefix="0" xfId="0">
      <alignment horizontal="center" vertical="bottom"/>
    </xf>
    <xf numFmtId="0" fontId="42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 wrapText="1"/>
    </xf>
    <xf numFmtId="0" fontId="42" fillId="7" borderId="2" applyAlignment="1" pivotButton="0" quotePrefix="0" xfId="0">
      <alignment horizontal="center" vertical="center"/>
    </xf>
    <xf numFmtId="0" fontId="42" fillId="7" borderId="2" applyAlignment="1" pivotButton="0" quotePrefix="0" xfId="0">
      <alignment horizontal="center" vertical="center" wrapText="1"/>
    </xf>
    <xf numFmtId="0" fontId="42" fillId="5" borderId="2" applyAlignment="1" pivotButton="0" quotePrefix="0" xfId="0">
      <alignment horizontal="center" vertical="center"/>
    </xf>
    <xf numFmtId="0" fontId="42" fillId="5" borderId="2" applyAlignment="1" pivotButton="0" quotePrefix="0" xfId="0">
      <alignment horizontal="center" vertical="center" wrapText="1"/>
    </xf>
    <xf numFmtId="0" fontId="42" fillId="8" borderId="2" applyAlignment="1" pivotButton="0" quotePrefix="0" xfId="0">
      <alignment horizontal="center" vertical="center"/>
    </xf>
    <xf numFmtId="0" fontId="42" fillId="8" borderId="2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/>
    </xf>
    <xf numFmtId="167" fontId="43" fillId="0" borderId="2" applyAlignment="1" pivotButton="0" quotePrefix="0" xfId="0">
      <alignment horizontal="center" vertical="center"/>
    </xf>
    <xf numFmtId="0" fontId="38" fillId="0" borderId="2" applyAlignment="1" pivotButton="0" quotePrefix="0" xfId="0">
      <alignment horizontal="left" vertical="center"/>
    </xf>
    <xf numFmtId="0" fontId="43" fillId="7" borderId="2" applyAlignment="1" pivotButton="0" quotePrefix="0" xfId="0">
      <alignment horizontal="center" vertical="bottom"/>
    </xf>
    <xf numFmtId="0" fontId="43" fillId="7" borderId="2" applyAlignment="1" pivotButton="0" quotePrefix="0" xfId="0">
      <alignment horizontal="center" vertical="bottom" wrapText="1"/>
    </xf>
    <xf numFmtId="171" fontId="17" fillId="7" borderId="2" applyAlignment="1" pivotButton="0" quotePrefix="0" xfId="0">
      <alignment horizontal="center" vertical="bottom" wrapText="1"/>
    </xf>
    <xf numFmtId="171" fontId="17" fillId="7" borderId="2" applyAlignment="1" pivotButton="0" quotePrefix="0" xfId="0">
      <alignment horizontal="center" vertical="bottom"/>
    </xf>
    <xf numFmtId="0" fontId="43" fillId="5" borderId="2" applyAlignment="1" pivotButton="0" quotePrefix="0" xfId="0">
      <alignment horizontal="center" vertical="bottom"/>
    </xf>
    <xf numFmtId="0" fontId="43" fillId="5" borderId="2" applyAlignment="1" pivotButton="0" quotePrefix="0" xfId="0">
      <alignment horizontal="center" vertical="bottom" wrapText="1"/>
    </xf>
    <xf numFmtId="171" fontId="17" fillId="5" borderId="2" applyAlignment="1" pivotButton="0" quotePrefix="0" xfId="0">
      <alignment horizontal="center" vertical="bottom" wrapText="1"/>
    </xf>
    <xf numFmtId="171" fontId="17" fillId="5" borderId="2" applyAlignment="1" pivotButton="0" quotePrefix="0" xfId="0">
      <alignment horizontal="center" vertical="bottom"/>
    </xf>
    <xf numFmtId="0" fontId="43" fillId="8" borderId="2" applyAlignment="1" pivotButton="0" quotePrefix="0" xfId="0">
      <alignment horizontal="center" vertical="bottom"/>
    </xf>
    <xf numFmtId="0" fontId="43" fillId="8" borderId="2" applyAlignment="1" pivotButton="0" quotePrefix="0" xfId="0">
      <alignment horizontal="center" vertical="bottom" wrapText="1"/>
    </xf>
    <xf numFmtId="171" fontId="17" fillId="8" borderId="2" applyAlignment="1" pivotButton="0" quotePrefix="0" xfId="0">
      <alignment horizontal="center" vertical="bottom" wrapText="1"/>
    </xf>
    <xf numFmtId="171" fontId="17" fillId="8" borderId="2" applyAlignment="1" pivotButton="0" quotePrefix="0" xfId="0">
      <alignment horizontal="center" vertical="bottom"/>
    </xf>
    <xf numFmtId="0" fontId="43" fillId="0" borderId="2" applyAlignment="1" pivotButton="0" quotePrefix="0" xfId="0">
      <alignment horizontal="center" vertical="bottom"/>
    </xf>
    <xf numFmtId="171" fontId="17" fillId="0" borderId="2" applyAlignment="1" pivotButton="0" quotePrefix="0" xfId="0">
      <alignment horizontal="center" vertical="bottom"/>
    </xf>
    <xf numFmtId="0" fontId="43" fillId="0" borderId="0" applyAlignment="1" pivotButton="0" quotePrefix="0" xfId="0">
      <alignment horizontal="center" vertical="bottom"/>
    </xf>
    <xf numFmtId="0" fontId="43" fillId="0" borderId="0" applyAlignment="1" pivotButton="0" quotePrefix="0" xfId="0">
      <alignment horizontal="center" vertical="bottom"/>
    </xf>
    <xf numFmtId="0" fontId="43" fillId="7" borderId="2" applyAlignment="1" pivotButton="0" quotePrefix="0" xfId="0">
      <alignment horizontal="center" vertical="center"/>
    </xf>
    <xf numFmtId="0" fontId="43" fillId="5" borderId="2" applyAlignment="1" pivotButton="0" quotePrefix="0" xfId="0">
      <alignment horizontal="center" vertical="center"/>
    </xf>
    <xf numFmtId="0" fontId="43" fillId="8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bottom" wrapText="1"/>
    </xf>
    <xf numFmtId="0" fontId="4" fillId="7" borderId="2" applyAlignment="1" pivotButton="0" quotePrefix="0" xfId="0">
      <alignment horizontal="center" vertical="bottom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bottom" wrapText="1"/>
    </xf>
    <xf numFmtId="0" fontId="4" fillId="5" borderId="2" applyAlignment="1" pivotButton="0" quotePrefix="0" xfId="0">
      <alignment horizontal="center" vertical="bottom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bottom" wrapText="1"/>
    </xf>
    <xf numFmtId="0" fontId="4" fillId="8" borderId="2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44" fillId="0" borderId="0" applyAlignment="1" pivotButton="0" quotePrefix="0" xfId="0">
      <alignment horizontal="center" vertical="bottom" wrapText="1"/>
    </xf>
    <xf numFmtId="0" fontId="44" fillId="0" borderId="0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center" vertical="bottom" wrapText="1"/>
    </xf>
    <xf numFmtId="0" fontId="45" fillId="0" borderId="0" applyAlignment="1" pivotButton="0" quotePrefix="0" xfId="0">
      <alignment horizontal="center" vertical="bottom"/>
    </xf>
    <xf numFmtId="0" fontId="46" fillId="0" borderId="0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general" vertical="bottom"/>
    </xf>
    <xf numFmtId="0" fontId="47" fillId="0" borderId="4" applyAlignment="1" pivotButton="0" quotePrefix="0" xfId="0">
      <alignment horizontal="center" vertical="bottom"/>
    </xf>
    <xf numFmtId="0" fontId="47" fillId="0" borderId="4" applyAlignment="1" pivotButton="0" quotePrefix="0" xfId="0">
      <alignment horizontal="left" vertical="center"/>
    </xf>
    <xf numFmtId="166" fontId="47" fillId="0" borderId="4" applyAlignment="1" pivotButton="0" quotePrefix="0" xfId="0">
      <alignment horizontal="center" vertical="top" wrapText="1"/>
    </xf>
    <xf numFmtId="171" fontId="47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47" fillId="0" borderId="7" applyAlignment="1" pivotButton="0" quotePrefix="0" xfId="0">
      <alignment horizontal="center" vertical="bottom"/>
    </xf>
    <xf numFmtId="0" fontId="47" fillId="0" borderId="7" applyAlignment="1" pivotButton="0" quotePrefix="0" xfId="0">
      <alignment horizontal="left" vertical="center"/>
    </xf>
    <xf numFmtId="166" fontId="47" fillId="0" borderId="7" applyAlignment="1" pivotButton="0" quotePrefix="0" xfId="0">
      <alignment horizontal="center" vertical="top" wrapText="1"/>
    </xf>
    <xf numFmtId="171" fontId="47" fillId="0" borderId="7" applyAlignment="1" pivotButton="0" quotePrefix="0" xfId="0">
      <alignment horizontal="center" vertical="center"/>
    </xf>
    <xf numFmtId="0" fontId="47" fillId="0" borderId="7" applyAlignment="1" pivotButton="0" quotePrefix="0" xfId="0">
      <alignment horizontal="center" vertical="center"/>
    </xf>
    <xf numFmtId="0" fontId="47" fillId="0" borderId="7" applyAlignment="1" pivotButton="0" quotePrefix="0" xfId="0">
      <alignment horizontal="general" vertical="bottom"/>
    </xf>
    <xf numFmtId="165" fontId="43" fillId="0" borderId="0" applyAlignment="1" pivotButton="0" quotePrefix="0" xfId="19">
      <alignment horizontal="general" vertical="bottom"/>
    </xf>
    <xf numFmtId="0" fontId="47" fillId="0" borderId="10" applyAlignment="1" pivotButton="0" quotePrefix="0" xfId="0">
      <alignment horizontal="center" vertical="bottom"/>
    </xf>
    <xf numFmtId="0" fontId="47" fillId="0" borderId="10" applyAlignment="1" pivotButton="0" quotePrefix="0" xfId="0">
      <alignment horizontal="left" vertical="center"/>
    </xf>
    <xf numFmtId="166" fontId="47" fillId="0" borderId="10" applyAlignment="1" pivotButton="0" quotePrefix="0" xfId="0">
      <alignment horizontal="center" vertical="top" wrapText="1"/>
    </xf>
    <xf numFmtId="171" fontId="47" fillId="0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4" fillId="0" borderId="24" applyAlignment="1" pivotButton="0" quotePrefix="0" xfId="0">
      <alignment horizontal="general" vertical="bottom"/>
    </xf>
    <xf numFmtId="0" fontId="4" fillId="0" borderId="24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1" fillId="0" borderId="25" applyAlignment="1" pivotButton="0" quotePrefix="0" xfId="0">
      <alignment horizontal="center" vertical="bottom"/>
    </xf>
    <xf numFmtId="0" fontId="31" fillId="0" borderId="2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wrapText="1"/>
    </xf>
    <xf numFmtId="0" fontId="38" fillId="0" borderId="2" applyAlignment="1" pivotButton="0" quotePrefix="0" xfId="0">
      <alignment horizontal="center" vertical="bottom"/>
    </xf>
    <xf numFmtId="0" fontId="38" fillId="0" borderId="2" applyAlignment="1" pivotButton="0" quotePrefix="0" xfId="0">
      <alignment horizontal="general" vertical="bottom"/>
    </xf>
    <xf numFmtId="172" fontId="38" fillId="0" borderId="2" applyAlignment="1" pivotButton="0" quotePrefix="0" xfId="0">
      <alignment horizontal="center" vertical="bottom"/>
    </xf>
    <xf numFmtId="0" fontId="19" fillId="0" borderId="2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bottom"/>
    </xf>
    <xf numFmtId="0" fontId="47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0" fillId="0" borderId="1" pivotButton="0" quotePrefix="0" xfId="0"/>
    <xf numFmtId="0" fontId="7" fillId="2" borderId="0" applyAlignment="1" pivotButton="0" quotePrefix="0" xfId="0">
      <alignment horizontal="general" vertical="bottom"/>
    </xf>
    <xf numFmtId="0" fontId="8" fillId="2" borderId="2" applyAlignment="1" pivotButton="0" quotePrefix="0" xfId="0">
      <alignment horizontal="left" vertical="center"/>
    </xf>
    <xf numFmtId="0" fontId="0" fillId="0" borderId="14" pivotButton="0" quotePrefix="0" xfId="0"/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bottom"/>
    </xf>
    <xf numFmtId="164" fontId="7" fillId="3" borderId="2" applyAlignment="1" pivotButton="0" quotePrefix="0" xfId="0">
      <alignment horizontal="center" vertical="bottom"/>
    </xf>
    <xf numFmtId="0" fontId="4" fillId="4" borderId="2" applyAlignment="1" pivotButton="0" quotePrefix="0" xfId="0">
      <alignment horizontal="left" vertical="bottom"/>
    </xf>
    <xf numFmtId="0" fontId="6" fillId="5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7" fillId="3" borderId="2" applyAlignment="1" pivotButton="0" quotePrefix="0" xfId="0">
      <alignment horizontal="center" vertical="bottom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bottom"/>
    </xf>
    <xf numFmtId="0" fontId="8" fillId="2" borderId="2" applyAlignment="1" pivotButton="0" quotePrefix="0" xfId="0">
      <alignment horizontal="general" vertical="bottom"/>
    </xf>
    <xf numFmtId="0" fontId="0" fillId="0" borderId="28" pivotButton="0" quotePrefix="0" xfId="0"/>
    <xf numFmtId="0" fontId="0" fillId="0" borderId="24" pivotButton="0" quotePrefix="0" xfId="0"/>
    <xf numFmtId="0" fontId="8" fillId="2" borderId="2" applyAlignment="1" pivotButton="0" quotePrefix="0" xfId="0">
      <alignment horizontal="center" vertical="bottom"/>
    </xf>
    <xf numFmtId="0" fontId="7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center" vertical="bottom"/>
    </xf>
    <xf numFmtId="0" fontId="9" fillId="6" borderId="0" applyAlignment="1" pivotButton="0" quotePrefix="0" xfId="2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general" vertical="bottom"/>
    </xf>
    <xf numFmtId="0" fontId="11" fillId="2" borderId="2" applyAlignment="1" pivotButton="0" quotePrefix="0" xfId="0">
      <alignment horizontal="center" vertical="bottom"/>
    </xf>
    <xf numFmtId="0" fontId="0" fillId="0" borderId="29" pivotButton="0" quotePrefix="0" xfId="0"/>
    <xf numFmtId="0" fontId="12" fillId="2" borderId="2" applyAlignment="1" pivotButton="0" quotePrefix="0" xfId="0">
      <alignment horizontal="center" vertical="bottom"/>
    </xf>
    <xf numFmtId="0" fontId="13" fillId="2" borderId="2" applyAlignment="1" pivotButton="0" quotePrefix="0" xfId="0">
      <alignment horizontal="general" vertical="bottom"/>
    </xf>
    <xf numFmtId="164" fontId="13" fillId="2" borderId="2" applyAlignment="1" pivotButton="0" quotePrefix="0" xfId="0">
      <alignment horizontal="center" vertical="bottom"/>
    </xf>
    <xf numFmtId="165" fontId="13" fillId="2" borderId="2" applyAlignment="1" pivotButton="0" quotePrefix="0" xfId="19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5" fillId="0" borderId="2" applyAlignment="1" applyProtection="1" pivotButton="0" quotePrefix="0" xfId="0">
      <alignment horizontal="center" vertical="center" wrapText="1"/>
      <protection locked="0" hidden="0"/>
    </xf>
    <xf numFmtId="166" fontId="16" fillId="0" borderId="2" applyAlignment="1" applyProtection="1" pivotButton="0" quotePrefix="0" xfId="0">
      <alignment horizontal="center" vertical="center" wrapText="1"/>
      <protection locked="0" hidden="0"/>
    </xf>
    <xf numFmtId="0" fontId="16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15" fillId="0" borderId="2" applyAlignment="1" applyProtection="1" pivotButton="0" quotePrefix="0" xfId="0">
      <alignment horizontal="center" vertical="center"/>
      <protection locked="0" hidden="0"/>
    </xf>
    <xf numFmtId="0" fontId="17" fillId="0" borderId="2" applyAlignment="1" applyProtection="1" pivotButton="0" quotePrefix="0" xfId="0">
      <alignment horizontal="center" vertical="center" wrapText="1"/>
      <protection locked="0" hidden="0"/>
    </xf>
    <xf numFmtId="0" fontId="17" fillId="0" borderId="2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0" fontId="16" fillId="0" borderId="3" applyAlignment="1" applyProtection="1" pivotButton="0" quotePrefix="0" xfId="0">
      <alignment horizontal="center" vertical="center" wrapText="1"/>
      <protection locked="0" hidden="0"/>
    </xf>
    <xf numFmtId="0" fontId="19" fillId="0" borderId="0" applyAlignment="1" pivotButton="0" quotePrefix="0" xfId="0">
      <alignment horizontal="center" vertical="center"/>
    </xf>
    <xf numFmtId="167" fontId="19" fillId="0" borderId="2" applyAlignment="1" applyProtection="1" pivotButton="0" quotePrefix="0" xfId="0">
      <alignment horizontal="center" vertical="center"/>
      <protection locked="0" hidden="0"/>
    </xf>
    <xf numFmtId="0" fontId="18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center" vertical="bottom"/>
    </xf>
    <xf numFmtId="0" fontId="20" fillId="0" borderId="2" applyAlignment="1" applyProtection="1" pivotButton="0" quotePrefix="0" xfId="0">
      <alignment horizontal="center" vertical="bottom"/>
      <protection locked="0" hidden="0"/>
    </xf>
    <xf numFmtId="0" fontId="19" fillId="0" borderId="2" applyAlignment="1" pivotButton="0" quotePrefix="0" xfId="0">
      <alignment horizontal="center" vertical="bottom"/>
    </xf>
    <xf numFmtId="0" fontId="20" fillId="0" borderId="2" applyAlignment="1" applyProtection="1" pivotButton="0" quotePrefix="0" xfId="0">
      <alignment horizontal="center" vertical="bottom"/>
      <protection locked="1" hidden="1"/>
    </xf>
    <xf numFmtId="0" fontId="4" fillId="0" borderId="2" applyAlignment="1" pivotButton="0" quotePrefix="0" xfId="0">
      <alignment horizontal="center" vertical="center"/>
    </xf>
    <xf numFmtId="0" fontId="20" fillId="0" borderId="2" applyAlignment="1" applyProtection="1" pivotButton="0" quotePrefix="0" xfId="0">
      <alignment horizontal="left" vertical="bottom"/>
      <protection locked="0" hidden="0"/>
    </xf>
    <xf numFmtId="0" fontId="19" fillId="0" borderId="2" applyAlignment="1" pivotButton="0" quotePrefix="0" xfId="0">
      <alignment horizontal="general" vertical="bottom"/>
    </xf>
    <xf numFmtId="0" fontId="19" fillId="0" borderId="2" applyAlignment="1" applyProtection="1" pivotButton="0" quotePrefix="0" xfId="0">
      <alignment horizontal="center" vertical="center"/>
      <protection locked="1" hidden="1"/>
    </xf>
    <xf numFmtId="0" fontId="19" fillId="0" borderId="2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general" vertical="bottom"/>
      <protection locked="1" hidden="1"/>
    </xf>
    <xf numFmtId="167" fontId="19" fillId="0" borderId="2" applyAlignment="1" applyProtection="1" pivotButton="0" quotePrefix="0" xfId="0">
      <alignment horizontal="left" vertical="center"/>
      <protection locked="0" hidden="0"/>
    </xf>
    <xf numFmtId="0" fontId="20" fillId="0" borderId="2" applyAlignment="1" applyProtection="1" pivotButton="0" quotePrefix="0" xfId="0">
      <alignment horizontal="left" vertical="center"/>
      <protection locked="0" hidden="0"/>
    </xf>
    <xf numFmtId="0" fontId="18" fillId="0" borderId="0" applyAlignment="1" pivotButton="0" quotePrefix="0" xfId="0">
      <alignment horizontal="center" vertical="center"/>
    </xf>
    <xf numFmtId="168" fontId="20" fillId="0" borderId="2" applyAlignment="1" applyProtection="1" pivotButton="0" quotePrefix="0" xfId="0">
      <alignment horizontal="center" vertical="bottom"/>
      <protection locked="0" hidden="0"/>
    </xf>
    <xf numFmtId="0" fontId="20" fillId="0" borderId="2" applyAlignment="1" applyProtection="1" pivotButton="0" quotePrefix="0" xfId="0">
      <alignment horizontal="general" vertical="center"/>
      <protection locked="0" hidden="0"/>
    </xf>
    <xf numFmtId="0" fontId="18" fillId="0" borderId="2" applyAlignment="1" applyProtection="1" pivotButton="0" quotePrefix="0" xfId="0">
      <alignment horizontal="center" vertical="center"/>
      <protection locked="0" hidden="0"/>
    </xf>
    <xf numFmtId="0" fontId="18" fillId="0" borderId="2" applyAlignment="1" applyProtection="1" pivotButton="0" quotePrefix="0" xfId="0">
      <alignment horizontal="center" vertical="center"/>
      <protection locked="1" hidden="1"/>
    </xf>
    <xf numFmtId="0" fontId="14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166" fontId="21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center" vertical="bottom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166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20" fillId="0" borderId="5" applyAlignment="1" pivotButton="0" quotePrefix="0" xfId="0">
      <alignment horizontal="general" vertical="bottom"/>
    </xf>
    <xf numFmtId="0" fontId="20" fillId="0" borderId="6" applyAlignment="1" pivotButton="0" quotePrefix="0" xfId="0">
      <alignment horizontal="general" vertical="bottom"/>
    </xf>
    <xf numFmtId="0" fontId="20" fillId="0" borderId="4" applyAlignment="1" pivotButton="0" quotePrefix="0" xfId="0">
      <alignment horizontal="center" vertical="bottom"/>
    </xf>
    <xf numFmtId="170" fontId="20" fillId="0" borderId="4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167" fontId="19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general" vertical="bottom"/>
    </xf>
    <xf numFmtId="0" fontId="20" fillId="0" borderId="9" applyAlignment="1" pivotButton="0" quotePrefix="0" xfId="0">
      <alignment horizontal="general" vertical="bottom"/>
    </xf>
    <xf numFmtId="0" fontId="20" fillId="0" borderId="7" applyAlignment="1" pivotButton="0" quotePrefix="0" xfId="0">
      <alignment horizontal="center" vertical="bottom"/>
    </xf>
    <xf numFmtId="170" fontId="20" fillId="0" borderId="7" applyAlignment="1" pivotButton="0" quotePrefix="0" xfId="0">
      <alignment horizontal="center" vertical="bottom"/>
    </xf>
    <xf numFmtId="0" fontId="19" fillId="0" borderId="7" applyAlignment="1" pivotButton="0" quotePrefix="0" xfId="0">
      <alignment horizontal="center" vertical="center"/>
    </xf>
    <xf numFmtId="167" fontId="19" fillId="0" borderId="10" applyAlignment="1" pivotButton="0" quotePrefix="0" xfId="0">
      <alignment horizontal="center" vertical="center"/>
    </xf>
    <xf numFmtId="0" fontId="20" fillId="0" borderId="11" applyAlignment="1" pivotButton="0" quotePrefix="0" xfId="0">
      <alignment horizontal="general" vertical="bottom"/>
    </xf>
    <xf numFmtId="0" fontId="20" fillId="0" borderId="12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bottom"/>
    </xf>
    <xf numFmtId="170" fontId="20" fillId="0" borderId="10" applyAlignment="1" pivotButton="0" quotePrefix="0" xfId="0">
      <alignment horizontal="center" vertical="bottom"/>
    </xf>
    <xf numFmtId="0" fontId="19" fillId="0" borderId="10" applyAlignment="1" pivotButton="0" quotePrefix="0" xfId="0">
      <alignment horizontal="center" vertical="center"/>
    </xf>
    <xf numFmtId="167" fontId="19" fillId="0" borderId="2" applyAlignment="1" pivotButton="0" quotePrefix="0" xfId="0">
      <alignment horizontal="center" vertical="center"/>
    </xf>
    <xf numFmtId="0" fontId="20" fillId="0" borderId="13" applyAlignment="1" pivotButton="0" quotePrefix="0" xfId="0">
      <alignment horizontal="general" vertical="bottom"/>
    </xf>
    <xf numFmtId="0" fontId="20" fillId="0" borderId="14" applyAlignment="1" pivotButton="0" quotePrefix="0" xfId="0">
      <alignment horizontal="general" vertical="bottom"/>
    </xf>
    <xf numFmtId="0" fontId="20" fillId="0" borderId="2" applyAlignment="1" pivotButton="0" quotePrefix="0" xfId="0">
      <alignment horizontal="center" vertical="bottom"/>
    </xf>
    <xf numFmtId="168" fontId="20" fillId="0" borderId="2" applyAlignment="1" pivotButton="0" quotePrefix="0" xfId="0">
      <alignment horizontal="center" vertical="bottom"/>
    </xf>
    <xf numFmtId="0" fontId="20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left" vertical="top"/>
    </xf>
    <xf numFmtId="0" fontId="25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top"/>
    </xf>
    <xf numFmtId="0" fontId="23" fillId="0" borderId="0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0" fillId="0" borderId="27" pivotButton="0" quotePrefix="0" xfId="0"/>
    <xf numFmtId="0" fontId="16" fillId="0" borderId="2" applyAlignment="1" pivotButton="0" quotePrefix="0" xfId="0">
      <alignment horizontal="center" vertical="bottom"/>
    </xf>
    <xf numFmtId="0" fontId="0" fillId="0" borderId="31" pivotButton="0" quotePrefix="0" xfId="0"/>
    <xf numFmtId="0" fontId="0" fillId="0" borderId="32" pivotButton="0" quotePrefix="0" xfId="0"/>
    <xf numFmtId="0" fontId="16" fillId="0" borderId="15" applyAlignment="1" pivotButton="0" quotePrefix="0" xfId="0">
      <alignment horizontal="center" vertical="bottom"/>
    </xf>
    <xf numFmtId="0" fontId="16" fillId="0" borderId="16" applyAlignment="1" pivotButton="0" quotePrefix="0" xfId="0">
      <alignment horizontal="center" vertical="bottom"/>
    </xf>
    <xf numFmtId="167" fontId="14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0" fontId="14" fillId="0" borderId="17" applyAlignment="1" pivotButton="0" quotePrefix="0" xfId="0">
      <alignment horizontal="general" vertical="bottom"/>
    </xf>
    <xf numFmtId="0" fontId="14" fillId="0" borderId="18" applyAlignment="1" pivotButton="0" quotePrefix="0" xfId="0">
      <alignment horizontal="general" vertical="bottom"/>
    </xf>
    <xf numFmtId="167" fontId="14" fillId="0" borderId="7" applyAlignment="1" pivotButton="0" quotePrefix="0" xfId="0">
      <alignment horizontal="center" vertical="center"/>
    </xf>
    <xf numFmtId="0" fontId="14" fillId="0" borderId="19" applyAlignment="1" pivotButton="0" quotePrefix="0" xfId="0">
      <alignment horizontal="general" vertical="bottom"/>
    </xf>
    <xf numFmtId="0" fontId="14" fillId="0" borderId="20" applyAlignment="1" pivotButton="0" quotePrefix="0" xfId="0">
      <alignment horizontal="general" vertical="bottom"/>
    </xf>
    <xf numFmtId="0" fontId="14" fillId="0" borderId="19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167" fontId="14" fillId="0" borderId="10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14" fillId="0" borderId="23" applyAlignment="1" pivotButton="0" quotePrefix="0" xfId="0">
      <alignment horizontal="center" vertical="center"/>
    </xf>
    <xf numFmtId="0" fontId="14" fillId="0" borderId="23" applyAlignment="1" pivotButton="0" quotePrefix="0" xfId="0">
      <alignment horizontal="general" vertical="bottom"/>
    </xf>
    <xf numFmtId="166" fontId="14" fillId="0" borderId="23" applyAlignment="1" pivotButton="0" quotePrefix="0" xfId="0">
      <alignment horizontal="general" vertical="bottom"/>
    </xf>
    <xf numFmtId="0" fontId="18" fillId="0" borderId="2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2" fillId="0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bottom"/>
    </xf>
    <xf numFmtId="0" fontId="14" fillId="0" borderId="4" applyAlignment="1" pivotButton="0" quotePrefix="0" xfId="0">
      <alignment horizontal="left" vertical="bottom"/>
    </xf>
    <xf numFmtId="0" fontId="14" fillId="0" borderId="4" applyAlignment="1" pivotButton="0" quotePrefix="0" xfId="0">
      <alignment horizontal="center" vertical="top" wrapText="1"/>
    </xf>
    <xf numFmtId="0" fontId="34" fillId="0" borderId="4" applyAlignment="1" pivotButton="0" quotePrefix="0" xfId="0">
      <alignment horizontal="center" vertical="bottom"/>
    </xf>
    <xf numFmtId="0" fontId="14" fillId="0" borderId="7" applyAlignment="1" pivotButton="0" quotePrefix="0" xfId="0">
      <alignment horizontal="center" vertical="bottom"/>
    </xf>
    <xf numFmtId="0" fontId="14" fillId="0" borderId="7" applyAlignment="1" pivotButton="0" quotePrefix="0" xfId="0">
      <alignment horizontal="left" vertical="bottom"/>
    </xf>
    <xf numFmtId="0" fontId="14" fillId="0" borderId="7" applyAlignment="1" pivotButton="0" quotePrefix="0" xfId="0">
      <alignment horizontal="center" vertical="top" wrapText="1"/>
    </xf>
    <xf numFmtId="0" fontId="34" fillId="0" borderId="7" applyAlignment="1" pivotButton="0" quotePrefix="0" xfId="0">
      <alignment horizontal="center" vertical="bottom"/>
    </xf>
    <xf numFmtId="0" fontId="14" fillId="0" borderId="10" applyAlignment="1" pivotButton="0" quotePrefix="0" xfId="0">
      <alignment horizontal="center" vertical="bottom"/>
    </xf>
    <xf numFmtId="0" fontId="14" fillId="0" borderId="10" applyAlignment="1" pivotButton="0" quotePrefix="0" xfId="0">
      <alignment horizontal="left" vertical="bottom"/>
    </xf>
    <xf numFmtId="0" fontId="14" fillId="0" borderId="10" applyAlignment="1" pivotButton="0" quotePrefix="0" xfId="0">
      <alignment horizontal="center" vertical="top" wrapText="1"/>
    </xf>
    <xf numFmtId="0" fontId="34" fillId="0" borderId="10" applyAlignment="1" pivotButton="0" quotePrefix="0" xfId="0">
      <alignment horizontal="center" vertical="bottom"/>
    </xf>
    <xf numFmtId="0" fontId="19" fillId="0" borderId="24" applyAlignment="1" pivotButton="0" quotePrefix="0" xfId="0">
      <alignment horizontal="general" vertical="bottom"/>
    </xf>
    <xf numFmtId="0" fontId="14" fillId="0" borderId="24" applyAlignment="1" pivotButton="0" quotePrefix="0" xfId="0">
      <alignment horizontal="general" vertical="bottom"/>
    </xf>
    <xf numFmtId="0" fontId="19" fillId="0" borderId="24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 wrapText="1"/>
    </xf>
    <xf numFmtId="0" fontId="37" fillId="0" borderId="4" applyAlignment="1" pivotButton="0" quotePrefix="0" xfId="0">
      <alignment horizontal="left" vertical="center"/>
    </xf>
    <xf numFmtId="0" fontId="37" fillId="0" borderId="4" applyAlignment="1" pivotButton="0" quotePrefix="0" xfId="0">
      <alignment horizontal="center" vertical="center"/>
    </xf>
    <xf numFmtId="171" fontId="14" fillId="0" borderId="4" applyAlignment="1" pivotButton="0" quotePrefix="0" xfId="0">
      <alignment horizontal="center" vertical="bottom"/>
    </xf>
    <xf numFmtId="171" fontId="38" fillId="0" borderId="4" applyAlignment="1" pivotButton="0" quotePrefix="0" xfId="0">
      <alignment horizontal="center" vertical="bottom"/>
    </xf>
    <xf numFmtId="171" fontId="14" fillId="0" borderId="7" applyAlignment="1" pivotButton="0" quotePrefix="0" xfId="0">
      <alignment horizontal="center" vertical="bottom"/>
    </xf>
    <xf numFmtId="171" fontId="38" fillId="0" borderId="7" applyAlignment="1" pivotButton="0" quotePrefix="0" xfId="0">
      <alignment horizontal="center" vertical="bottom"/>
    </xf>
    <xf numFmtId="171" fontId="14" fillId="0" borderId="10" applyAlignment="1" pivotButton="0" quotePrefix="0" xfId="0">
      <alignment horizontal="center" vertical="bottom"/>
    </xf>
    <xf numFmtId="171" fontId="38" fillId="0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bottom"/>
    </xf>
    <xf numFmtId="0" fontId="29" fillId="7" borderId="0" applyAlignment="1" pivotButton="0" quotePrefix="0" xfId="0">
      <alignment horizontal="center" vertical="bottom"/>
    </xf>
    <xf numFmtId="0" fontId="42" fillId="7" borderId="0" applyAlignment="1" pivotButton="0" quotePrefix="0" xfId="0">
      <alignment horizontal="center" vertical="bottom"/>
    </xf>
    <xf numFmtId="0" fontId="29" fillId="5" borderId="0" applyAlignment="1" pivotButton="0" quotePrefix="0" xfId="0">
      <alignment horizontal="center" vertical="bottom"/>
    </xf>
    <xf numFmtId="0" fontId="42" fillId="5" borderId="0" applyAlignment="1" pivotButton="0" quotePrefix="0" xfId="0">
      <alignment horizontal="center" vertical="bottom"/>
    </xf>
    <xf numFmtId="0" fontId="29" fillId="8" borderId="0" applyAlignment="1" pivotButton="0" quotePrefix="0" xfId="0">
      <alignment horizontal="center" vertical="bottom"/>
    </xf>
    <xf numFmtId="0" fontId="42" fillId="8" borderId="0" applyAlignment="1" pivotButton="0" quotePrefix="0" xfId="0">
      <alignment horizontal="center" vertical="bottom"/>
    </xf>
    <xf numFmtId="0" fontId="42" fillId="0" borderId="0" applyAlignment="1" pivotButton="0" quotePrefix="0" xfId="0">
      <alignment horizontal="center" vertical="bottom"/>
    </xf>
    <xf numFmtId="0" fontId="42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/>
    </xf>
    <xf numFmtId="0" fontId="42" fillId="7" borderId="2" applyAlignment="1" pivotButton="0" quotePrefix="0" xfId="0">
      <alignment horizontal="center" vertical="center"/>
    </xf>
    <xf numFmtId="0" fontId="42" fillId="7" borderId="2" applyAlignment="1" pivotButton="0" quotePrefix="0" xfId="0">
      <alignment horizontal="center" vertical="center" wrapText="1"/>
    </xf>
    <xf numFmtId="0" fontId="42" fillId="5" borderId="2" applyAlignment="1" pivotButton="0" quotePrefix="0" xfId="0">
      <alignment horizontal="center" vertical="center"/>
    </xf>
    <xf numFmtId="0" fontId="42" fillId="5" borderId="2" applyAlignment="1" pivotButton="0" quotePrefix="0" xfId="0">
      <alignment horizontal="center" vertical="center" wrapText="1"/>
    </xf>
    <xf numFmtId="0" fontId="42" fillId="8" borderId="2" applyAlignment="1" pivotButton="0" quotePrefix="0" xfId="0">
      <alignment horizontal="center" vertical="center"/>
    </xf>
    <xf numFmtId="0" fontId="42" fillId="8" borderId="2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bottom"/>
    </xf>
    <xf numFmtId="167" fontId="43" fillId="0" borderId="2" applyAlignment="1" pivotButton="0" quotePrefix="0" xfId="0">
      <alignment horizontal="center" vertical="center"/>
    </xf>
    <xf numFmtId="0" fontId="38" fillId="0" borderId="2" applyAlignment="1" pivotButton="0" quotePrefix="0" xfId="0">
      <alignment horizontal="left" vertical="center"/>
    </xf>
    <xf numFmtId="0" fontId="43" fillId="7" borderId="2" applyAlignment="1" pivotButton="0" quotePrefix="0" xfId="0">
      <alignment horizontal="center" vertical="bottom"/>
    </xf>
    <xf numFmtId="0" fontId="43" fillId="7" borderId="2" applyAlignment="1" pivotButton="0" quotePrefix="0" xfId="0">
      <alignment horizontal="center" vertical="bottom" wrapText="1"/>
    </xf>
    <xf numFmtId="171" fontId="17" fillId="7" borderId="2" applyAlignment="1" pivotButton="0" quotePrefix="0" xfId="0">
      <alignment horizontal="center" vertical="bottom" wrapText="1"/>
    </xf>
    <xf numFmtId="171" fontId="17" fillId="7" borderId="2" applyAlignment="1" pivotButton="0" quotePrefix="0" xfId="0">
      <alignment horizontal="center" vertical="bottom"/>
    </xf>
    <xf numFmtId="0" fontId="43" fillId="5" borderId="2" applyAlignment="1" pivotButton="0" quotePrefix="0" xfId="0">
      <alignment horizontal="center" vertical="bottom"/>
    </xf>
    <xf numFmtId="0" fontId="43" fillId="5" borderId="2" applyAlignment="1" pivotButton="0" quotePrefix="0" xfId="0">
      <alignment horizontal="center" vertical="bottom" wrapText="1"/>
    </xf>
    <xf numFmtId="171" fontId="17" fillId="5" borderId="2" applyAlignment="1" pivotButton="0" quotePrefix="0" xfId="0">
      <alignment horizontal="center" vertical="bottom" wrapText="1"/>
    </xf>
    <xf numFmtId="171" fontId="17" fillId="5" borderId="2" applyAlignment="1" pivotButton="0" quotePrefix="0" xfId="0">
      <alignment horizontal="center" vertical="bottom"/>
    </xf>
    <xf numFmtId="0" fontId="43" fillId="8" borderId="2" applyAlignment="1" pivotButton="0" quotePrefix="0" xfId="0">
      <alignment horizontal="center" vertical="bottom"/>
    </xf>
    <xf numFmtId="0" fontId="43" fillId="8" borderId="2" applyAlignment="1" pivotButton="0" quotePrefix="0" xfId="0">
      <alignment horizontal="center" vertical="bottom" wrapText="1"/>
    </xf>
    <xf numFmtId="171" fontId="17" fillId="8" borderId="2" applyAlignment="1" pivotButton="0" quotePrefix="0" xfId="0">
      <alignment horizontal="center" vertical="bottom" wrapText="1"/>
    </xf>
    <xf numFmtId="171" fontId="17" fillId="8" borderId="2" applyAlignment="1" pivotButton="0" quotePrefix="0" xfId="0">
      <alignment horizontal="center" vertical="bottom"/>
    </xf>
    <xf numFmtId="0" fontId="43" fillId="0" borderId="2" applyAlignment="1" pivotButton="0" quotePrefix="0" xfId="0">
      <alignment horizontal="center" vertical="bottom"/>
    </xf>
    <xf numFmtId="171" fontId="17" fillId="0" borderId="2" applyAlignment="1" pivotButton="0" quotePrefix="0" xfId="0">
      <alignment horizontal="center" vertical="bottom"/>
    </xf>
    <xf numFmtId="0" fontId="43" fillId="7" borderId="2" applyAlignment="1" pivotButton="0" quotePrefix="0" xfId="0">
      <alignment horizontal="center" vertical="center"/>
    </xf>
    <xf numFmtId="0" fontId="43" fillId="5" borderId="2" applyAlignment="1" pivotButton="0" quotePrefix="0" xfId="0">
      <alignment horizontal="center" vertical="center"/>
    </xf>
    <xf numFmtId="0" fontId="43" fillId="8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bottom" wrapText="1"/>
    </xf>
    <xf numFmtId="0" fontId="4" fillId="7" borderId="2" applyAlignment="1" pivotButton="0" quotePrefix="0" xfId="0">
      <alignment horizontal="center" vertical="bottom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bottom" wrapText="1"/>
    </xf>
    <xf numFmtId="0" fontId="4" fillId="5" borderId="2" applyAlignment="1" pivotButton="0" quotePrefix="0" xfId="0">
      <alignment horizontal="center" vertical="bottom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bottom" wrapText="1"/>
    </xf>
    <xf numFmtId="0" fontId="4" fillId="8" borderId="2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44" fillId="0" borderId="0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center" vertical="bottom" wrapText="1"/>
    </xf>
    <xf numFmtId="0" fontId="45" fillId="0" borderId="0" applyAlignment="1" pivotButton="0" quotePrefix="0" xfId="0">
      <alignment horizontal="center" vertical="bottom"/>
    </xf>
    <xf numFmtId="0" fontId="46" fillId="0" borderId="0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general" vertical="bottom"/>
    </xf>
    <xf numFmtId="0" fontId="47" fillId="0" borderId="4" applyAlignment="1" pivotButton="0" quotePrefix="0" xfId="0">
      <alignment horizontal="center" vertical="bottom"/>
    </xf>
    <xf numFmtId="0" fontId="47" fillId="0" borderId="4" applyAlignment="1" pivotButton="0" quotePrefix="0" xfId="0">
      <alignment horizontal="left" vertical="center"/>
    </xf>
    <xf numFmtId="166" fontId="47" fillId="0" borderId="4" applyAlignment="1" pivotButton="0" quotePrefix="0" xfId="0">
      <alignment horizontal="center" vertical="top" wrapText="1"/>
    </xf>
    <xf numFmtId="171" fontId="47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0" borderId="7" applyAlignment="1" pivotButton="0" quotePrefix="0" xfId="0">
      <alignment horizontal="center" vertical="bottom"/>
    </xf>
    <xf numFmtId="0" fontId="47" fillId="0" borderId="7" applyAlignment="1" pivotButton="0" quotePrefix="0" xfId="0">
      <alignment horizontal="left" vertical="center"/>
    </xf>
    <xf numFmtId="166" fontId="47" fillId="0" borderId="7" applyAlignment="1" pivotButton="0" quotePrefix="0" xfId="0">
      <alignment horizontal="center" vertical="top" wrapText="1"/>
    </xf>
    <xf numFmtId="171" fontId="47" fillId="0" borderId="7" applyAlignment="1" pivotButton="0" quotePrefix="0" xfId="0">
      <alignment horizontal="center" vertical="center"/>
    </xf>
    <xf numFmtId="0" fontId="47" fillId="0" borderId="7" applyAlignment="1" pivotButton="0" quotePrefix="0" xfId="0">
      <alignment horizontal="center" vertical="center"/>
    </xf>
    <xf numFmtId="0" fontId="47" fillId="0" borderId="7" applyAlignment="1" pivotButton="0" quotePrefix="0" xfId="0">
      <alignment horizontal="general" vertical="bottom"/>
    </xf>
    <xf numFmtId="165" fontId="43" fillId="0" borderId="0" applyAlignment="1" pivotButton="0" quotePrefix="0" xfId="19">
      <alignment horizontal="general" vertical="bottom"/>
    </xf>
    <xf numFmtId="0" fontId="47" fillId="0" borderId="10" applyAlignment="1" pivotButton="0" quotePrefix="0" xfId="0">
      <alignment horizontal="center" vertical="bottom"/>
    </xf>
    <xf numFmtId="0" fontId="47" fillId="0" borderId="10" applyAlignment="1" pivotButton="0" quotePrefix="0" xfId="0">
      <alignment horizontal="left" vertical="center"/>
    </xf>
    <xf numFmtId="166" fontId="47" fillId="0" borderId="10" applyAlignment="1" pivotButton="0" quotePrefix="0" xfId="0">
      <alignment horizontal="center" vertical="top" wrapText="1"/>
    </xf>
    <xf numFmtId="171" fontId="47" fillId="0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general" vertical="bottom"/>
    </xf>
    <xf numFmtId="0" fontId="4" fillId="0" borderId="24" applyAlignment="1" pivotButton="0" quotePrefix="0" xfId="0">
      <alignment horizontal="general" vertical="bottom"/>
    </xf>
    <xf numFmtId="0" fontId="4" fillId="0" borderId="24" applyAlignment="1" pivotButton="0" quotePrefix="0" xfId="0">
      <alignment horizontal="center" vertical="bottom"/>
    </xf>
    <xf numFmtId="0" fontId="48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1" fillId="0" borderId="25" applyAlignment="1" pivotButton="0" quotePrefix="0" xfId="0">
      <alignment horizontal="center" vertical="bottom"/>
    </xf>
    <xf numFmtId="0" fontId="31" fillId="0" borderId="2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wrapText="1"/>
    </xf>
    <xf numFmtId="0" fontId="38" fillId="0" borderId="2" applyAlignment="1" pivotButton="0" quotePrefix="0" xfId="0">
      <alignment horizontal="center" vertical="bottom"/>
    </xf>
    <xf numFmtId="0" fontId="38" fillId="0" borderId="2" applyAlignment="1" pivotButton="0" quotePrefix="0" xfId="0">
      <alignment horizontal="general" vertical="bottom"/>
    </xf>
    <xf numFmtId="172" fontId="38" fillId="0" borderId="2" applyAlignment="1" pivotButton="0" quotePrefix="0" xfId="0">
      <alignment horizontal="center" vertical="bottom"/>
    </xf>
    <xf numFmtId="0" fontId="19" fillId="0" borderId="2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bottom"/>
    </xf>
    <xf numFmtId="0" fontId="47" fillId="0" borderId="0" applyAlignment="1" pivotButton="0" quotePrefix="0" xfId="0">
      <alignment horizontal="general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1.%20Quyet%20dinh%20Mo%20lop.dot" TargetMode="External" Id="rId1"/><Relationship Type="http://schemas.openxmlformats.org/officeDocument/2006/relationships/hyperlink" Target="2.%20Quyet%20dinh%20Dieu%20dong%20giao%20vien.dot" TargetMode="External" Id="rId2"/><Relationship Type="http://schemas.openxmlformats.org/officeDocument/2006/relationships/hyperlink" Target="3.%20Quyet%20dinh%20Thanh%20lap%20BQL%20lop.dot" TargetMode="External" Id="rId3"/><Relationship Type="http://schemas.openxmlformats.org/officeDocument/2006/relationships/hyperlink" Target="4.%20Quyet%20dinh%20Thanh%20lap%20Hoi%20dong%20KT%20KTKH.dot" TargetMode="External" Id="rId4"/><Relationship Type="http://schemas.openxmlformats.org/officeDocument/2006/relationships/hyperlink" Target="4.%20Bien%20ban%20Hoi%20dong%20kiem%20tra%20lan%201.dot" TargetMode="External" Id="rId5"/><Relationship Type="http://schemas.openxmlformats.org/officeDocument/2006/relationships/hyperlink" Target="4.%20Ban%20phan%20cong%20Hoi%20dong.dot" TargetMode="External" Id="rId6"/><Relationship Type="http://schemas.openxmlformats.org/officeDocument/2006/relationships/hyperlink" Target="5.%20Bien%20ban%20Hoi%20dong%20kiem%20tra%20lan%201.2.dot" TargetMode="External" Id="rId7"/><Relationship Type="http://schemas.openxmlformats.org/officeDocument/2006/relationships/hyperlink" Target="5.%20Bien%20ban%20Hoi%20dong%20kiem%20tra%20lan%202.dot" TargetMode="External" Id="rId8"/><Relationship Type="http://schemas.openxmlformats.org/officeDocument/2006/relationships/hyperlink" Target="5.%20QD%20cong%20nhan%20tot%20nghiep.dot" TargetMode="External" Id="rId9"/><Relationship Type="http://schemas.openxmlformats.org/officeDocument/2006/relationships/hyperlink" Target="6.%20QD%20Khen%20thuong.dot" TargetMode="External" Id="rId1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M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8.75" zeroHeight="0" outlineLevelRow="0"/>
  <cols>
    <col width="3.24" customWidth="1" style="334" min="1" max="1"/>
    <col width="3.5" customWidth="1" style="334" min="2" max="2"/>
    <col width="21.75" customWidth="1" style="334" min="3" max="3"/>
    <col width="8.99" customWidth="1" style="334" min="4" max="4"/>
    <col width="36.74" customWidth="1" style="334" min="5" max="5"/>
    <col width="3.12" customWidth="1" style="334" min="6" max="6"/>
    <col width="8.99" customWidth="1" style="334" min="7" max="7"/>
    <col width="2.37" customWidth="1" style="334" min="8" max="8"/>
    <col width="20.74" customWidth="1" style="334" min="9" max="9"/>
    <col width="7.12" customWidth="1" style="334" min="10" max="10"/>
    <col width="6.62" customWidth="1" style="334" min="11" max="11"/>
    <col width="7.87" customWidth="1" style="334" min="12" max="12"/>
    <col width="3.36" customWidth="1" style="334" min="13" max="13"/>
    <col width="8.99" customWidth="1" style="334" min="14" max="257"/>
  </cols>
  <sheetData>
    <row r="2" ht="18.75" customHeight="1" s="335">
      <c r="B2" s="336" t="inlineStr">
        <is>
          <t>THÔNG TIN LỚP HỌC</t>
        </is>
      </c>
      <c r="H2" s="337" t="n"/>
      <c r="I2" s="338" t="inlineStr">
        <is>
          <t>THỐNG KÊ LỚP HỌC</t>
        </is>
      </c>
      <c r="J2" s="339" t="n"/>
      <c r="K2" s="339" t="n"/>
      <c r="L2" s="339" t="n"/>
      <c r="M2" s="337" t="n"/>
    </row>
    <row r="3" ht="37.5" customHeight="1" s="335">
      <c r="B3" s="340" t="n"/>
      <c r="C3" s="341" t="inlineStr">
        <is>
          <t>Tên nghề đào tạo</t>
        </is>
      </c>
      <c r="D3" s="342" t="n"/>
      <c r="E3" s="343" t="inlineStr">
        <is>
          <t>Nuôi và phòng trị bệnh cho trâu, bò</t>
        </is>
      </c>
      <c r="F3" s="340" t="n"/>
      <c r="H3" s="337" t="n"/>
      <c r="I3" s="344" t="inlineStr">
        <is>
          <t>Nội dung thống kê</t>
        </is>
      </c>
      <c r="J3" s="342" t="n"/>
      <c r="K3" s="345" t="inlineStr">
        <is>
          <t>Nhập
học</t>
        </is>
      </c>
      <c r="L3" s="346" t="inlineStr">
        <is>
          <t>Tốt
nghiệp</t>
        </is>
      </c>
      <c r="M3" s="337" t="n"/>
    </row>
    <row r="4" ht="18.75" customHeight="1" s="335">
      <c r="B4" s="340" t="n"/>
      <c r="C4" s="347" t="inlineStr">
        <is>
          <t>Khóa</t>
        </is>
      </c>
      <c r="D4" s="342" t="n"/>
      <c r="E4" s="348" t="n">
        <v>1</v>
      </c>
      <c r="F4" s="340" t="n"/>
      <c r="H4" s="337" t="n"/>
      <c r="I4" s="349" t="inlineStr">
        <is>
          <t>Tổng số học viên</t>
        </is>
      </c>
      <c r="J4" s="342" t="n"/>
      <c r="K4" s="350">
        <f>SUM(K5:K9)</f>
        <v/>
      </c>
      <c r="L4" s="351">
        <f>COUNTIF('Thông tin hoc sinh'!P3:P37,"x")</f>
        <v/>
      </c>
      <c r="M4" s="337" t="n"/>
    </row>
    <row r="5" ht="18.75" customHeight="1" s="335">
      <c r="B5" s="340" t="n"/>
      <c r="C5" s="347" t="inlineStr">
        <is>
          <t>Năm đào tạo</t>
        </is>
      </c>
      <c r="D5" s="342" t="n"/>
      <c r="E5" s="352" t="n">
        <v>2018</v>
      </c>
      <c r="F5" s="340" t="n"/>
      <c r="H5" s="337" t="n"/>
      <c r="I5" s="353" t="inlineStr">
        <is>
          <t>Nhóm đối tượng</t>
        </is>
      </c>
      <c r="J5" s="354" t="n">
        <v>1</v>
      </c>
      <c r="K5" s="350">
        <f>COUNTIF('Thông tin hoc sinh'!$J$3:$J$37,J5)</f>
        <v/>
      </c>
      <c r="L5" s="351">
        <f>COUNTIF('Thông tin hoc sinh'!$AG$3:$AG$37,J5)</f>
        <v/>
      </c>
      <c r="M5" s="337" t="n"/>
    </row>
    <row r="6" ht="18.75" customHeight="1" s="335">
      <c r="B6" s="340" t="n"/>
      <c r="C6" s="341" t="inlineStr">
        <is>
          <t>Địa điểm đào tạo</t>
        </is>
      </c>
      <c r="D6" s="355" t="inlineStr">
        <is>
          <t>Xã:</t>
        </is>
      </c>
      <c r="E6" s="352" t="inlineStr">
        <is>
          <t>Ngọk Tụ</t>
        </is>
      </c>
      <c r="F6" s="340" t="n"/>
      <c r="H6" s="337" t="n"/>
      <c r="I6" s="356" t="n"/>
      <c r="J6" s="354" t="n">
        <v>2</v>
      </c>
      <c r="K6" s="350">
        <f>COUNTIF('Thông tin hoc sinh'!$J$3:$J$37,J6)</f>
        <v/>
      </c>
      <c r="L6" s="351">
        <f>COUNTIF('Thông tin hoc sinh'!$AG$3:$AG$37,J6)</f>
        <v/>
      </c>
      <c r="M6" s="337" t="n"/>
    </row>
    <row r="7" ht="18.75" customHeight="1" s="335">
      <c r="B7" s="340" t="n"/>
      <c r="C7" s="357" t="n"/>
      <c r="D7" s="355" t="inlineStr">
        <is>
          <t>Huyện:</t>
        </is>
      </c>
      <c r="E7" s="352">
        <f>VLOOKUP(E6,IDs!$H$4:$I$46,2,0)</f>
        <v/>
      </c>
      <c r="F7" s="340" t="n"/>
      <c r="H7" s="337" t="n"/>
      <c r="I7" s="356" t="n"/>
      <c r="J7" s="354" t="n">
        <v>3</v>
      </c>
      <c r="K7" s="350">
        <f>COUNTIF('Thông tin hoc sinh'!$J$3:$J$37,J7)</f>
        <v/>
      </c>
      <c r="L7" s="351">
        <f>COUNTIF('Thông tin hoc sinh'!$AG$3:$AG$37,J7)</f>
        <v/>
      </c>
      <c r="M7" s="337" t="n"/>
    </row>
    <row r="8" ht="18.75" customHeight="1" s="335">
      <c r="B8" s="340" t="n"/>
      <c r="C8" s="355" t="inlineStr">
        <is>
          <t>Là nghề</t>
        </is>
      </c>
      <c r="D8" s="342" t="n"/>
      <c r="E8" s="358">
        <f>VLOOKUP(E3,IDs!$B$4:$C$33,2,1)</f>
        <v/>
      </c>
      <c r="F8" s="340" t="n"/>
      <c r="H8" s="337" t="n"/>
      <c r="I8" s="356" t="n"/>
      <c r="J8" s="354" t="n">
        <v>4</v>
      </c>
      <c r="K8" s="350">
        <f>COUNTIF('Thông tin hoc sinh'!$J$3:$J$37,J8)</f>
        <v/>
      </c>
      <c r="L8" s="351">
        <f>COUNTIF('Thông tin hoc sinh'!$AG$3:$AG$37,J8)</f>
        <v/>
      </c>
      <c r="M8" s="337" t="n"/>
    </row>
    <row r="9" ht="18.75" customHeight="1" s="335">
      <c r="B9" s="340" t="n"/>
      <c r="C9" s="340" t="n"/>
      <c r="D9" s="340" t="n"/>
      <c r="E9" s="340" t="n"/>
      <c r="F9" s="340" t="n"/>
      <c r="H9" s="337" t="n"/>
      <c r="I9" s="357" t="n"/>
      <c r="J9" s="354" t="n">
        <v>5</v>
      </c>
      <c r="K9" s="350">
        <f>COUNTIF('Thông tin hoc sinh'!$J$3:$J$37,J9)</f>
        <v/>
      </c>
      <c r="L9" s="351">
        <f>COUNTIF('Thông tin hoc sinh'!$AG$3:$AG$37,J9)</f>
        <v/>
      </c>
      <c r="M9" s="337" t="n"/>
    </row>
    <row r="10" ht="18.75" customHeight="1" s="335">
      <c r="B10" s="359" t="n"/>
      <c r="C10" s="360" t="n"/>
      <c r="D10" s="360" t="n"/>
      <c r="E10" s="360" t="n"/>
      <c r="F10" s="360" t="n"/>
      <c r="H10" s="337" t="n"/>
      <c r="I10" s="349" t="inlineStr">
        <is>
          <t>Nữ</t>
        </is>
      </c>
      <c r="J10" s="342" t="n"/>
      <c r="K10" s="350">
        <f>COUNTIF('Thông tin hoc sinh'!$D$3:$D$37,"Nữ")</f>
        <v/>
      </c>
      <c r="L10" s="351">
        <f>'Thông tin hoc sinh'!AH38</f>
        <v/>
      </c>
      <c r="M10" s="337" t="n"/>
    </row>
    <row r="11" ht="18.75" customHeight="1" s="335">
      <c r="B11" s="361" t="inlineStr">
        <is>
          <t>CÔNG CỤ TẠO HỒ SƠ LỚP ĐÀO TẠO NGHỀ</t>
        </is>
      </c>
      <c r="H11" s="337" t="n"/>
      <c r="I11" s="349" t="inlineStr">
        <is>
          <t>Dân tộc thiểu số</t>
        </is>
      </c>
      <c r="J11" s="342" t="n"/>
      <c r="K11" s="350">
        <f>'Thông tin hoc sinh'!R38</f>
        <v/>
      </c>
      <c r="L11" s="351">
        <f>'Thông tin hoc sinh'!AJ38</f>
        <v/>
      </c>
      <c r="M11" s="337" t="n"/>
    </row>
    <row r="12" ht="18.75" customHeight="1" s="335">
      <c r="B12" s="360" t="n">
        <v>1</v>
      </c>
      <c r="C12" s="362" t="inlineStr">
        <is>
          <t>Quyết định mở lớp</t>
        </is>
      </c>
      <c r="D12" s="363" t="n"/>
      <c r="E12" s="360" t="n"/>
      <c r="F12" s="360" t="n"/>
      <c r="H12" s="337" t="n"/>
      <c r="I12" s="349" t="inlineStr">
        <is>
          <t>Nữ dân tộc thiểu số</t>
        </is>
      </c>
      <c r="J12" s="342" t="n"/>
      <c r="K12" s="350">
        <f>'Thông tin hoc sinh'!Q38</f>
        <v/>
      </c>
      <c r="L12" s="351">
        <f>'Thông tin hoc sinh'!AI38</f>
        <v/>
      </c>
      <c r="M12" s="337" t="n"/>
    </row>
    <row r="13" ht="18.75" customHeight="1" s="335">
      <c r="B13" s="360" t="n">
        <v>2</v>
      </c>
      <c r="C13" s="362" t="inlineStr">
        <is>
          <t>Quyết định điều động</t>
        </is>
      </c>
      <c r="D13" s="363" t="n"/>
      <c r="E13" s="360" t="n"/>
      <c r="F13" s="360" t="n"/>
      <c r="H13" s="337" t="n"/>
      <c r="I13" s="349" t="inlineStr">
        <is>
          <t>Thanh niên</t>
        </is>
      </c>
      <c r="J13" s="342" t="n"/>
      <c r="K13" s="350">
        <f>'Thông tin hoc sinh'!S38</f>
        <v/>
      </c>
      <c r="L13" s="351">
        <f>'Thông tin hoc sinh'!AK38</f>
        <v/>
      </c>
      <c r="M13" s="337" t="n"/>
    </row>
    <row r="14" ht="18.75" customHeight="1" s="335">
      <c r="B14" s="360" t="n">
        <v>3</v>
      </c>
      <c r="C14" s="362" t="inlineStr">
        <is>
          <t>Quyết định thành lập BQL lớp</t>
        </is>
      </c>
      <c r="D14" s="363" t="n"/>
      <c r="E14" s="360" t="n"/>
      <c r="F14" s="360" t="n"/>
      <c r="H14" s="337" t="n"/>
      <c r="I14" s="349" t="inlineStr">
        <is>
          <t>Thanh niên DTTS</t>
        </is>
      </c>
      <c r="J14" s="342" t="n"/>
      <c r="K14" s="350">
        <f>'Thông tin hoc sinh'!T38</f>
        <v/>
      </c>
      <c r="L14" s="351">
        <f>'Thông tin hoc sinh'!AL38</f>
        <v/>
      </c>
      <c r="M14" s="337" t="n"/>
    </row>
    <row r="15" ht="18.75" customHeight="1" s="335">
      <c r="B15" s="360" t="n">
        <v>4</v>
      </c>
      <c r="C15" s="362" t="inlineStr">
        <is>
          <t>Quyết định thành lập Hội đồng KT KTKH</t>
        </is>
      </c>
      <c r="D15" s="363" t="n"/>
      <c r="E15" s="360" t="n"/>
      <c r="F15" s="360" t="n"/>
      <c r="H15" s="337" t="n"/>
      <c r="I15" s="364" t="inlineStr">
        <is>
          <t>Tốt nghiệp THCS</t>
        </is>
      </c>
      <c r="J15" s="365" t="inlineStr">
        <is>
          <t>Tổng</t>
        </is>
      </c>
      <c r="K15" s="350">
        <f>'Thông tin hoc sinh'!U38</f>
        <v/>
      </c>
      <c r="L15" s="351">
        <f>'Thông tin hoc sinh'!AM38</f>
        <v/>
      </c>
      <c r="M15" s="337" t="n"/>
    </row>
    <row r="16" ht="18.75" customHeight="1" s="335">
      <c r="B16" s="360" t="n">
        <v>5</v>
      </c>
      <c r="C16" s="362" t="inlineStr">
        <is>
          <t>Biên bản họp Hội đồng lần 1</t>
        </is>
      </c>
      <c r="D16" s="363" t="n"/>
      <c r="E16" s="360" t="n"/>
      <c r="F16" s="360" t="n"/>
      <c r="H16" s="337" t="n"/>
      <c r="I16" s="356" t="n"/>
      <c r="J16" s="365" t="inlineStr">
        <is>
          <t>Nữ</t>
        </is>
      </c>
      <c r="K16" s="350">
        <f>'Thông tin hoc sinh'!V38</f>
        <v/>
      </c>
      <c r="L16" s="351">
        <f>'Thông tin hoc sinh'!AN38</f>
        <v/>
      </c>
      <c r="M16" s="337" t="n"/>
    </row>
    <row r="17" ht="18.75" customHeight="1" s="335">
      <c r="B17" s="360" t="n">
        <v>6</v>
      </c>
      <c r="C17" s="362" t="inlineStr">
        <is>
          <t>Bản phân công</t>
        </is>
      </c>
      <c r="D17" s="363" t="n"/>
      <c r="E17" s="360" t="n"/>
      <c r="F17" s="360" t="n"/>
      <c r="H17" s="337" t="n"/>
      <c r="I17" s="357" t="n"/>
      <c r="J17" s="365" t="inlineStr">
        <is>
          <t>DTTS</t>
        </is>
      </c>
      <c r="K17" s="350">
        <f>'Thông tin hoc sinh'!W38</f>
        <v/>
      </c>
      <c r="L17" s="351">
        <f>'Thông tin hoc sinh'!AO38</f>
        <v/>
      </c>
      <c r="M17" s="337" t="n"/>
    </row>
    <row r="18" ht="18.75" customHeight="1" s="335">
      <c r="B18" s="360" t="n">
        <v>7</v>
      </c>
      <c r="C18" s="362" t="inlineStr">
        <is>
          <t>Biên bản họp Hội đồng Thi lại</t>
        </is>
      </c>
      <c r="D18" s="363" t="n"/>
      <c r="E18" s="360" t="n"/>
      <c r="F18" s="360" t="n"/>
      <c r="H18" s="337" t="n"/>
      <c r="I18" s="364" t="inlineStr">
        <is>
          <t>Từ 25 tuổi trở xuống</t>
        </is>
      </c>
      <c r="J18" s="365" t="inlineStr">
        <is>
          <t>Tổng</t>
        </is>
      </c>
      <c r="K18" s="350">
        <f>'Thông tin hoc sinh'!X38</f>
        <v/>
      </c>
      <c r="L18" s="351">
        <f>'Thông tin hoc sinh'!AP38</f>
        <v/>
      </c>
      <c r="M18" s="337" t="n"/>
    </row>
    <row r="19" ht="18.75" customHeight="1" s="335">
      <c r="B19" s="360" t="n">
        <v>8</v>
      </c>
      <c r="C19" s="362" t="inlineStr">
        <is>
          <t>Biên bản họp Hội đồng lần 2</t>
        </is>
      </c>
      <c r="D19" s="363" t="n"/>
      <c r="E19" s="360" t="n"/>
      <c r="F19" s="360" t="n"/>
      <c r="H19" s="337" t="n"/>
      <c r="I19" s="356" t="n"/>
      <c r="J19" s="365" t="inlineStr">
        <is>
          <t>Nữ</t>
        </is>
      </c>
      <c r="K19" s="350">
        <f>'Thông tin hoc sinh'!Y38</f>
        <v/>
      </c>
      <c r="L19" s="351">
        <f>'Thông tin hoc sinh'!AQ38</f>
        <v/>
      </c>
      <c r="M19" s="337" t="n"/>
    </row>
    <row r="20" ht="18.75" customHeight="1" s="335">
      <c r="B20" s="360" t="n">
        <v>9</v>
      </c>
      <c r="C20" s="362" t="inlineStr">
        <is>
          <t>Quyết định công nhận tốt nghiệp</t>
        </is>
      </c>
      <c r="D20" s="363" t="n"/>
      <c r="E20" s="360" t="n"/>
      <c r="F20" s="360" t="n"/>
      <c r="H20" s="337" t="n"/>
      <c r="I20" s="357" t="n"/>
      <c r="J20" s="365" t="inlineStr">
        <is>
          <t>DTTS</t>
        </is>
      </c>
      <c r="K20" s="350">
        <f>'Thông tin hoc sinh'!Z38</f>
        <v/>
      </c>
      <c r="L20" s="351">
        <f>'Thông tin hoc sinh'!AR38</f>
        <v/>
      </c>
      <c r="M20" s="337" t="n"/>
    </row>
    <row r="21" ht="18.75" customHeight="1" s="335">
      <c r="B21" s="360" t="n">
        <v>10</v>
      </c>
      <c r="C21" s="362" t="inlineStr">
        <is>
          <t>Quyết định khen thưởng</t>
        </is>
      </c>
      <c r="D21" s="363" t="n"/>
      <c r="E21" s="360" t="n"/>
      <c r="F21" s="360" t="n"/>
      <c r="H21" s="337" t="n"/>
      <c r="I21" s="364" t="inlineStr">
        <is>
          <t>Từ 26 - 45 tuổi</t>
        </is>
      </c>
      <c r="J21" s="365" t="inlineStr">
        <is>
          <t>Tổng</t>
        </is>
      </c>
      <c r="K21" s="350">
        <f>'Thông tin hoc sinh'!AA38</f>
        <v/>
      </c>
      <c r="L21" s="351">
        <f>'Thông tin hoc sinh'!AS38</f>
        <v/>
      </c>
      <c r="M21" s="337" t="n"/>
    </row>
    <row r="22" ht="18.75" customHeight="1" s="335">
      <c r="B22" s="337" t="n"/>
      <c r="C22" s="337" t="n"/>
      <c r="D22" s="337" t="n"/>
      <c r="E22" s="337" t="n"/>
      <c r="F22" s="337" t="n"/>
      <c r="H22" s="337" t="n"/>
      <c r="I22" s="356" t="n"/>
      <c r="J22" s="365" t="inlineStr">
        <is>
          <t>Nữ</t>
        </is>
      </c>
      <c r="K22" s="350">
        <f>'Thông tin hoc sinh'!AB38</f>
        <v/>
      </c>
      <c r="L22" s="351">
        <f>'Thông tin hoc sinh'!AT38</f>
        <v/>
      </c>
      <c r="M22" s="337" t="n"/>
    </row>
    <row r="23" ht="18.75" customHeight="1" s="335">
      <c r="B23" s="337" t="n"/>
      <c r="C23" s="366" t="inlineStr">
        <is>
          <t>XẾP LOẠI TỐT NGHIỆP</t>
        </is>
      </c>
      <c r="D23" s="367" t="n"/>
      <c r="E23" s="342" t="n"/>
      <c r="F23" s="337" t="n"/>
      <c r="H23" s="337" t="n"/>
      <c r="I23" s="357" t="n"/>
      <c r="J23" s="365" t="inlineStr">
        <is>
          <t>DTTS</t>
        </is>
      </c>
      <c r="K23" s="350">
        <f>'Thông tin hoc sinh'!AC38</f>
        <v/>
      </c>
      <c r="L23" s="351">
        <f>'Thông tin hoc sinh'!AU38</f>
        <v/>
      </c>
      <c r="M23" s="337" t="n"/>
    </row>
    <row r="24" ht="18.75" customHeight="1" s="335">
      <c r="B24" s="337" t="n"/>
      <c r="C24" s="366">
        <f>'Công nhận tốt nghiệp'!J9</f>
        <v/>
      </c>
      <c r="D24" s="368">
        <f>'Công nhận tốt nghiệp'!K9</f>
        <v/>
      </c>
      <c r="E24" s="366">
        <f>'Công nhận tốt nghiệp'!L9</f>
        <v/>
      </c>
      <c r="F24" s="337" t="n"/>
      <c r="H24" s="337" t="n"/>
      <c r="I24" s="364" t="inlineStr">
        <is>
          <t>Từ 46 tuổi trở lên</t>
        </is>
      </c>
      <c r="J24" s="365" t="inlineStr">
        <is>
          <t>Tổng</t>
        </is>
      </c>
      <c r="K24" s="350">
        <f>'Thông tin hoc sinh'!AD38</f>
        <v/>
      </c>
      <c r="L24" s="351">
        <f>'Thông tin hoc sinh'!AV38</f>
        <v/>
      </c>
      <c r="M24" s="337" t="n"/>
    </row>
    <row r="25" ht="18.75" customHeight="1" s="335">
      <c r="B25" s="337" t="n"/>
      <c r="C25" s="369">
        <f>'Công nhận tốt nghiệp'!J10</f>
        <v/>
      </c>
      <c r="D25" s="370">
        <f>'Công nhận tốt nghiệp'!K10</f>
        <v/>
      </c>
      <c r="E25" s="371">
        <f>'Công nhận tốt nghiệp'!L10</f>
        <v/>
      </c>
      <c r="F25" s="337" t="n"/>
      <c r="H25" s="337" t="n"/>
      <c r="I25" s="356" t="n"/>
      <c r="J25" s="365" t="inlineStr">
        <is>
          <t>Nữ</t>
        </is>
      </c>
      <c r="K25" s="350">
        <f>'Thông tin hoc sinh'!AE38</f>
        <v/>
      </c>
      <c r="L25" s="351">
        <f>'Thông tin hoc sinh'!AW38</f>
        <v/>
      </c>
      <c r="M25" s="337" t="n"/>
    </row>
    <row r="26" ht="18.75" customHeight="1" s="335">
      <c r="B26" s="337" t="n"/>
      <c r="C26" s="369">
        <f>'Công nhận tốt nghiệp'!J11</f>
        <v/>
      </c>
      <c r="D26" s="370">
        <f>'Công nhận tốt nghiệp'!K11</f>
        <v/>
      </c>
      <c r="E26" s="371">
        <f>'Công nhận tốt nghiệp'!L11</f>
        <v/>
      </c>
      <c r="F26" s="337" t="n"/>
      <c r="H26" s="337" t="n"/>
      <c r="I26" s="357" t="n"/>
      <c r="J26" s="365" t="inlineStr">
        <is>
          <t>DTTS</t>
        </is>
      </c>
      <c r="K26" s="350">
        <f>'Thông tin hoc sinh'!AF38</f>
        <v/>
      </c>
      <c r="L26" s="351">
        <f>'Thông tin hoc sinh'!AX38</f>
        <v/>
      </c>
      <c r="M26" s="337" t="n"/>
    </row>
    <row r="27" ht="18.75" customHeight="1" s="335">
      <c r="B27" s="337" t="n"/>
      <c r="C27" s="369">
        <f>'Công nhận tốt nghiệp'!J12</f>
        <v/>
      </c>
      <c r="D27" s="370">
        <f>'Công nhận tốt nghiệp'!K12</f>
        <v/>
      </c>
      <c r="E27" s="371">
        <f>'Công nhận tốt nghiệp'!L12</f>
        <v/>
      </c>
      <c r="F27" s="337" t="n"/>
      <c r="H27" s="337" t="n"/>
      <c r="I27" s="337" t="n"/>
      <c r="J27" s="337" t="n"/>
      <c r="K27" s="337" t="n"/>
      <c r="L27" s="337" t="n"/>
      <c r="M27" s="337" t="n"/>
    </row>
    <row r="28" ht="18.75" customHeight="1" s="335">
      <c r="B28" s="337" t="n"/>
      <c r="C28" s="369">
        <f>'Công nhận tốt nghiệp'!J13</f>
        <v/>
      </c>
      <c r="D28" s="370">
        <f>'Công nhận tốt nghiệp'!K13</f>
        <v/>
      </c>
      <c r="E28" s="371">
        <f>'Công nhận tốt nghiệp'!L13</f>
        <v/>
      </c>
      <c r="F28" s="337" t="n"/>
    </row>
    <row r="29" ht="18.75" customHeight="1" s="335">
      <c r="B29" s="337" t="n"/>
      <c r="C29" s="369">
        <f>'Công nhận tốt nghiệp'!J14</f>
        <v/>
      </c>
      <c r="D29" s="370">
        <f>'Công nhận tốt nghiệp'!K14</f>
        <v/>
      </c>
      <c r="E29" s="371">
        <f>'Công nhận tốt nghiệp'!L14</f>
        <v/>
      </c>
      <c r="F29" s="337" t="n"/>
      <c r="H29" s="372" t="n"/>
    </row>
    <row r="30" ht="18.75" customHeight="1" s="335">
      <c r="B30" s="337" t="n"/>
      <c r="C30" s="337" t="n"/>
      <c r="D30" s="337" t="n"/>
      <c r="E30" s="337" t="n"/>
      <c r="F30" s="337" t="n"/>
    </row>
  </sheetData>
  <mergeCells count="21">
    <mergeCell ref="I18:I20"/>
    <mergeCell ref="I5:I9"/>
    <mergeCell ref="C5:D5"/>
    <mergeCell ref="I11:J11"/>
    <mergeCell ref="C4:D4"/>
    <mergeCell ref="B2:F2"/>
    <mergeCell ref="B11:F11"/>
    <mergeCell ref="C23:E23"/>
    <mergeCell ref="I15:I17"/>
    <mergeCell ref="I2:L2"/>
    <mergeCell ref="I3:J3"/>
    <mergeCell ref="I12:J12"/>
    <mergeCell ref="I14:J14"/>
    <mergeCell ref="C8:D8"/>
    <mergeCell ref="I4:J4"/>
    <mergeCell ref="I10:J10"/>
    <mergeCell ref="I21:I23"/>
    <mergeCell ref="C6:C7"/>
    <mergeCell ref="I13:J13"/>
    <mergeCell ref="C3:D3"/>
    <mergeCell ref="I24:I26"/>
  </mergeCells>
  <dataValidations count="4">
    <dataValidation sqref="E2" showDropDown="0" showInputMessage="0" showErrorMessage="0" allowBlank="1" type="list">
      <formula1>IDs!$B$3:$B$150</formula1>
    </dataValidation>
    <dataValidation sqref="E5" showDropDown="0" showInputMessage="0" showErrorMessage="0" allowBlank="1" type="list">
      <formula1>IDs!$H$3:$H$150</formula1>
    </dataValidation>
    <dataValidation sqref="E6" showDropDown="0" showInputMessage="0" showErrorMessage="0" allowBlank="1" type="list">
      <formula1>IDs!$I$3:$I$150</formula1>
    </dataValidation>
    <dataValidation sqref="E7" showDropDown="0" showInputMessage="0" showErrorMessage="0" allowBlank="1" type="list">
      <formula1>"Nông nghiệp,Phi nông nghiệp"</formula1>
    </dataValidation>
  </dataValidations>
  <hyperlinks>
    <hyperlink xmlns:r="http://schemas.openxmlformats.org/officeDocument/2006/relationships" ref="C12" display="Quyết định mở lớp" r:id="rId1"/>
    <hyperlink xmlns:r="http://schemas.openxmlformats.org/officeDocument/2006/relationships" ref="C13" display="Quyết định điều động" r:id="rId2"/>
    <hyperlink xmlns:r="http://schemas.openxmlformats.org/officeDocument/2006/relationships" ref="C14" display="Quyết định thành lập BQL lớp" r:id="rId3"/>
    <hyperlink xmlns:r="http://schemas.openxmlformats.org/officeDocument/2006/relationships" ref="C15" display="Quyết định thành lập Hội đồng KT KTKH" r:id="rId4"/>
    <hyperlink xmlns:r="http://schemas.openxmlformats.org/officeDocument/2006/relationships" ref="C16" display="Biên bản họp Hội đồng lần 1" r:id="rId5"/>
    <hyperlink xmlns:r="http://schemas.openxmlformats.org/officeDocument/2006/relationships" ref="C17" display="Bản phân công" r:id="rId6"/>
    <hyperlink xmlns:r="http://schemas.openxmlformats.org/officeDocument/2006/relationships" ref="C18" display="Biên bản họp Hội đồng Thi lại" r:id="rId7"/>
    <hyperlink xmlns:r="http://schemas.openxmlformats.org/officeDocument/2006/relationships" ref="C19" display="Biên bản họp Hội đồng lần 2" r:id="rId8"/>
    <hyperlink xmlns:r="http://schemas.openxmlformats.org/officeDocument/2006/relationships" ref="C20" display="Quyết định công nhận tốt nghiệp" r:id="rId9"/>
    <hyperlink xmlns:r="http://schemas.openxmlformats.org/officeDocument/2006/relationships" ref="C21" display="Quyết định khen thưởng" r:id="rId10"/>
  </hyperlink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AX38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C9" activeCellId="0" sqref="C9"/>
    </sheetView>
  </sheetViews>
  <sheetFormatPr baseColWidth="8" defaultColWidth="8.99609375" defaultRowHeight="15.75" zeroHeight="0" outlineLevelRow="0"/>
  <cols>
    <col width="4.87" customWidth="1" style="373" min="1" max="1"/>
    <col width="27.62" customWidth="1" style="373" min="2" max="2"/>
    <col width="12.12" customWidth="1" style="374" min="3" max="3"/>
    <col width="6.99" customWidth="1" style="375" min="4" max="4"/>
    <col width="9.119999999999999" customWidth="1" style="375" min="5" max="5"/>
    <col width="6.87" customWidth="1" style="375" min="6" max="6"/>
    <col width="8.359999999999999" customWidth="1" style="375" min="7" max="7"/>
    <col width="8.24" customWidth="1" style="375" min="8" max="8"/>
    <col width="33.49" customWidth="1" style="375" min="9" max="9"/>
    <col width="6.62" customWidth="1" style="375" min="10" max="10"/>
    <col width="28.99" customWidth="1" style="375" min="11" max="11"/>
    <col width="22.24" customWidth="1" style="375" min="12" max="12"/>
    <col width="34.12" customWidth="1" style="375" min="13" max="13"/>
    <col width="24.62" customWidth="1" style="375" min="14" max="14"/>
    <col width="38.62" customWidth="1" style="375" min="15" max="15"/>
    <col width="7.5" customWidth="1" style="375" min="16" max="16"/>
    <col hidden="1" width="4.24" customWidth="1" style="375" min="17" max="50"/>
    <col width="8.99" customWidth="1" style="375" min="51" max="257"/>
  </cols>
  <sheetData>
    <row r="1" ht="47.25" customFormat="1" customHeight="1" s="376">
      <c r="A1" s="377" t="inlineStr">
        <is>
          <t>Số
TT</t>
        </is>
      </c>
      <c r="B1" s="377" t="inlineStr">
        <is>
          <t>Họ và tên</t>
        </is>
      </c>
      <c r="C1" s="378" t="inlineStr">
        <is>
          <t>Ngày, tháng, năm sinh</t>
        </is>
      </c>
      <c r="D1" s="379" t="inlineStr">
        <is>
          <t>Giới tính</t>
        </is>
      </c>
      <c r="E1" s="379" t="inlineStr">
        <is>
          <t>Dân tộc</t>
        </is>
      </c>
      <c r="F1" s="379" t="inlineStr">
        <is>
          <t>Thanh niên</t>
        </is>
      </c>
      <c r="G1" s="379" t="inlineStr">
        <is>
          <t>Thanh niên DTTS</t>
        </is>
      </c>
      <c r="H1" s="379" t="inlineStr">
        <is>
          <t>Trình độ văn hóa</t>
        </is>
      </c>
      <c r="I1" s="379" t="inlineStr">
        <is>
          <t>Nhóm đối tượng</t>
        </is>
      </c>
      <c r="J1" s="380" t="n"/>
      <c r="K1" s="379" t="inlineStr">
        <is>
          <t>Nơi sinh</t>
        </is>
      </c>
      <c r="L1" s="381" t="inlineStr">
        <is>
          <t>Nguyên quán</t>
        </is>
      </c>
      <c r="M1" s="381" t="inlineStr">
        <is>
          <t>Nơi cư trú</t>
        </is>
      </c>
      <c r="N1" s="377" t="inlineStr">
        <is>
          <t>Kiểm tra tuổi</t>
        </is>
      </c>
      <c r="O1" s="377" t="inlineStr">
        <is>
          <t>Yêu cầu về hồ sơ</t>
        </is>
      </c>
      <c r="P1" s="377" t="inlineStr">
        <is>
          <t>Tốt
nghiệp</t>
        </is>
      </c>
      <c r="Q1" s="382" t="inlineStr">
        <is>
          <t>Nữ
DTTS</t>
        </is>
      </c>
      <c r="R1" s="383" t="inlineStr">
        <is>
          <t>DTTS</t>
        </is>
      </c>
      <c r="S1" s="382" t="inlineStr">
        <is>
          <t>Thanh
niên</t>
        </is>
      </c>
      <c r="T1" s="382" t="inlineStr">
        <is>
          <t>Thanh
niên
DTTS</t>
        </is>
      </c>
      <c r="U1" s="382" t="inlineStr">
        <is>
          <t>Tốt nghiệp
THCS</t>
        </is>
      </c>
      <c r="V1" s="384" t="n"/>
      <c r="W1" s="380" t="n"/>
      <c r="X1" s="385" t="inlineStr">
        <is>
          <t>Từ 25 tuổi trở xuống</t>
        </is>
      </c>
      <c r="Y1" s="384" t="n"/>
      <c r="Z1" s="380" t="n"/>
      <c r="AA1" s="385" t="inlineStr">
        <is>
          <t>Từ 26, 45 tuổi</t>
        </is>
      </c>
      <c r="AB1" s="384" t="n"/>
      <c r="AC1" s="380" t="n"/>
      <c r="AD1" s="385" t="inlineStr">
        <is>
          <t>Từ 46 tuổi trở lên</t>
        </is>
      </c>
      <c r="AE1" s="384" t="n"/>
      <c r="AF1" s="380" t="n"/>
      <c r="AG1" s="386" t="inlineStr">
        <is>
          <t>Nhóm
đối
tượng</t>
        </is>
      </c>
      <c r="AH1" s="385" t="inlineStr">
        <is>
          <t>Nữ</t>
        </is>
      </c>
      <c r="AI1" s="382" t="inlineStr">
        <is>
          <t>Nữ
DTTS</t>
        </is>
      </c>
      <c r="AJ1" s="383" t="inlineStr">
        <is>
          <t>DTTS</t>
        </is>
      </c>
      <c r="AK1" s="382" t="inlineStr">
        <is>
          <t>Thanh
niên</t>
        </is>
      </c>
      <c r="AL1" s="382" t="inlineStr">
        <is>
          <t>Thanh
niên
DTTS</t>
        </is>
      </c>
      <c r="AM1" s="382" t="inlineStr">
        <is>
          <t>Tốt nghiệp
THCS</t>
        </is>
      </c>
      <c r="AN1" s="384" t="n"/>
      <c r="AO1" s="380" t="n"/>
      <c r="AP1" s="385" t="inlineStr">
        <is>
          <t>Từ 25 tuổi trở xuống</t>
        </is>
      </c>
      <c r="AQ1" s="384" t="n"/>
      <c r="AR1" s="380" t="n"/>
      <c r="AS1" s="385" t="inlineStr">
        <is>
          <t>Từ 26, 45 tuổi</t>
        </is>
      </c>
      <c r="AT1" s="384" t="n"/>
      <c r="AU1" s="380" t="n"/>
      <c r="AV1" s="385" t="inlineStr">
        <is>
          <t>Từ 46 tuổi trở lên</t>
        </is>
      </c>
      <c r="AW1" s="384" t="n"/>
      <c r="AX1" s="380" t="n"/>
    </row>
    <row r="2" ht="31.5" customFormat="1" customHeight="1" s="376">
      <c r="A2" s="387" t="n"/>
      <c r="B2" s="387" t="n"/>
      <c r="C2" s="387" t="n"/>
      <c r="D2" s="387" t="n"/>
      <c r="E2" s="387" t="n"/>
      <c r="F2" s="387" t="n"/>
      <c r="G2" s="387" t="n"/>
      <c r="H2" s="387" t="n"/>
      <c r="I2" s="388" t="inlineStr">
        <is>
          <t>Tên đối tượng</t>
        </is>
      </c>
      <c r="J2" s="388" t="inlineStr">
        <is>
          <t>Thuộc
nhóm</t>
        </is>
      </c>
      <c r="K2" s="387" t="n"/>
      <c r="L2" s="387" t="n"/>
      <c r="M2" s="387" t="n"/>
      <c r="N2" s="387" t="n"/>
      <c r="O2" s="387" t="n"/>
      <c r="P2" s="387" t="n"/>
      <c r="Q2" s="387" t="n"/>
      <c r="R2" s="387" t="n"/>
      <c r="S2" s="387" t="n"/>
      <c r="T2" s="387" t="n"/>
      <c r="U2" s="385" t="inlineStr">
        <is>
          <t>Tổng</t>
        </is>
      </c>
      <c r="V2" s="385" t="inlineStr">
        <is>
          <t>Nữ</t>
        </is>
      </c>
      <c r="W2" s="385" t="inlineStr">
        <is>
          <t>DTTS</t>
        </is>
      </c>
      <c r="X2" s="385" t="inlineStr">
        <is>
          <t>Tổng</t>
        </is>
      </c>
      <c r="Y2" s="385" t="inlineStr">
        <is>
          <t>Nữ</t>
        </is>
      </c>
      <c r="Z2" s="385" t="inlineStr">
        <is>
          <t>DTTS</t>
        </is>
      </c>
      <c r="AA2" s="385" t="inlineStr">
        <is>
          <t>Tổng</t>
        </is>
      </c>
      <c r="AB2" s="385" t="inlineStr">
        <is>
          <t>Nữ</t>
        </is>
      </c>
      <c r="AC2" s="385" t="inlineStr">
        <is>
          <t>DTTS</t>
        </is>
      </c>
      <c r="AD2" s="385" t="inlineStr">
        <is>
          <t>Tổng</t>
        </is>
      </c>
      <c r="AE2" s="385" t="inlineStr">
        <is>
          <t>Nữ</t>
        </is>
      </c>
      <c r="AF2" s="385" t="inlineStr">
        <is>
          <t>DTTS</t>
        </is>
      </c>
      <c r="AG2" s="387" t="n"/>
      <c r="AH2" s="387" t="n"/>
      <c r="AI2" s="387" t="n"/>
      <c r="AJ2" s="387" t="n"/>
      <c r="AK2" s="387" t="n"/>
      <c r="AL2" s="387" t="n"/>
      <c r="AM2" s="385" t="inlineStr">
        <is>
          <t>Tổng</t>
        </is>
      </c>
      <c r="AN2" s="385" t="inlineStr">
        <is>
          <t>Nữ</t>
        </is>
      </c>
      <c r="AO2" s="385" t="inlineStr">
        <is>
          <t>DTTS</t>
        </is>
      </c>
      <c r="AP2" s="385" t="inlineStr">
        <is>
          <t>Tổng</t>
        </is>
      </c>
      <c r="AQ2" s="385" t="inlineStr">
        <is>
          <t>Nữ</t>
        </is>
      </c>
      <c r="AR2" s="385" t="inlineStr">
        <is>
          <t>DTTS</t>
        </is>
      </c>
      <c r="AS2" s="385" t="inlineStr">
        <is>
          <t>Tổng</t>
        </is>
      </c>
      <c r="AT2" s="385" t="inlineStr">
        <is>
          <t>Nữ</t>
        </is>
      </c>
      <c r="AU2" s="385" t="inlineStr">
        <is>
          <t>DTTS</t>
        </is>
      </c>
      <c r="AV2" s="385" t="inlineStr">
        <is>
          <t>Tổng</t>
        </is>
      </c>
      <c r="AW2" s="385" t="inlineStr">
        <is>
          <t>Nữ</t>
        </is>
      </c>
      <c r="AX2" s="385" t="inlineStr">
        <is>
          <t>DTTS</t>
        </is>
      </c>
    </row>
    <row r="3" ht="18.75" customFormat="1" customHeight="1" s="389">
      <c r="A3" s="390" t="inlineStr">
        <is>
          <t>01</t>
        </is>
      </c>
      <c r="B3" s="391" t="inlineStr">
        <is>
          <t>Y Hương</t>
        </is>
      </c>
      <c r="C3" s="392" t="n">
        <v>1986</v>
      </c>
      <c r="D3" s="393" t="inlineStr">
        <is>
          <t>Nữ</t>
        </is>
      </c>
      <c r="E3" s="394" t="inlineStr">
        <is>
          <t>Xê Đăng</t>
        </is>
      </c>
      <c r="F3" s="395">
        <f>IF(YEAR(TODAY())-C3&lt;=30,"X","")</f>
        <v/>
      </c>
      <c r="G3" s="395">
        <f>IF(AND(F3="X",E3&lt;&gt;"Kinh"),"X","")</f>
        <v/>
      </c>
      <c r="H3" s="396" t="n">
        <v>6</v>
      </c>
      <c r="I3" s="397" t="inlineStr">
        <is>
          <t>Người dân tộc thiểu số</t>
        </is>
      </c>
      <c r="J3" s="395">
        <f>VLOOKUP(I3,IDs!$B$37:$C$46,2,0)</f>
        <v/>
      </c>
      <c r="K3" s="397" t="inlineStr">
        <is>
          <t>Kon Đào, ĐăkTô, Kon Tum</t>
        </is>
      </c>
      <c r="L3" s="398" t="inlineStr">
        <is>
          <t>Đăk Tô, Kon Tum</t>
        </is>
      </c>
      <c r="M3" s="398" t="inlineStr">
        <is>
          <t>Đăk Nu, Ngọk Tụ, Đăk Tô, Kon Tum</t>
        </is>
      </c>
      <c r="N3" s="399">
        <f>IF(C3="","",IF(YEAR(TODAY())-C3&lt;15,"Không đủ tuổi theo học",IF(AND(D3="Nam",YEAR(TODAY())-C3&gt;60),"Quá tuổi theo học",IF(AND(D3="Nữ",YEAR(TODAY())-C3&gt;55),"Quá tuổi theo học","Đảm bảo"))))</f>
        <v/>
      </c>
      <c r="O3" s="399">
        <f>IF(B3="","",IF(OR(LEFT(B3,1)="Y",LEFT(B3,1)="A"),"",IF(I3&lt;&gt;"Đối tượng lao động nông thôn khác","Cần hồ sơ chứng minh nhóm đối tượng","")))</f>
        <v/>
      </c>
      <c r="P3" s="400" t="inlineStr">
        <is>
          <t>x</t>
        </is>
      </c>
      <c r="Q3" s="399">
        <f>IF(B3&lt;&gt;"",AND(D3="Nữ",I3="Người dân tộc thiểu số"),"")</f>
        <v/>
      </c>
      <c r="R3" s="399">
        <f>IF(B3&lt;&gt;"",I3="Người dân tộc thiểu số","")</f>
        <v/>
      </c>
      <c r="S3" s="401">
        <f>IF(B3&lt;&gt;"",MENU!$E$5-'Thông tin hoc sinh'!C3&lt;31,"")</f>
        <v/>
      </c>
      <c r="T3" s="399">
        <f>IF(B3&lt;&gt;"",AND(R3,S3),"")</f>
        <v/>
      </c>
      <c r="U3" s="399">
        <f>IF(B3&lt;&gt;"",(H3&gt;=9),"")</f>
        <v/>
      </c>
      <c r="V3" s="399">
        <f>IF(B3&lt;&gt;"",AND(U3,D3="Nữ"),"")</f>
        <v/>
      </c>
      <c r="W3" s="399">
        <f>IF(B3&lt;&gt;"",AND(U3,R3),"")</f>
        <v/>
      </c>
      <c r="X3" s="399">
        <f>IF(B3&lt;&gt;"",MENU!$E$5-'Thông tin hoc sinh'!C3&lt;26,"")</f>
        <v/>
      </c>
      <c r="Y3" s="399">
        <f>IF(B3&lt;&gt;"",AND(X3,D3="Nữ"),"")</f>
        <v/>
      </c>
      <c r="Z3" s="399">
        <f>IF(B3&lt;&gt;"",AND(X3,R3),"")</f>
        <v/>
      </c>
      <c r="AA3" s="399">
        <f>IF(B3&lt;&gt;"",AND(MENU!$E$5-'Thông tin hoc sinh'!C3&gt;=26,MENU!$E$5-'Thông tin hoc sinh'!C3&lt;=45),"")</f>
        <v/>
      </c>
      <c r="AB3" s="399">
        <f>IF(B3&lt;&gt;"",AND(AA3,D3="Nữ"),"")</f>
        <v/>
      </c>
      <c r="AC3" s="399">
        <f>IF(B3&lt;&gt;"",AND(AA3,R3),"")</f>
        <v/>
      </c>
      <c r="AD3" s="399">
        <f>IF(B3&lt;&gt;"",MENU!$E$5-'Thông tin hoc sinh'!C3&gt;45,"")</f>
        <v/>
      </c>
      <c r="AE3" s="399">
        <f>IF(B3&lt;&gt;"",AND(AD3,D3="Nữ"),"")</f>
        <v/>
      </c>
      <c r="AF3" s="399">
        <f>IF(B3&lt;&gt;"",AND(AD3,R3),"")</f>
        <v/>
      </c>
      <c r="AG3" s="399">
        <f>IF(P3&lt;&gt;"",J3,"")</f>
        <v/>
      </c>
      <c r="AH3" s="399">
        <f>IF(B3&lt;&gt;"",AND(P3="x",D3="Nữ"),"")</f>
        <v/>
      </c>
      <c r="AI3" s="399">
        <f>IF(B3&lt;&gt;"",AND(P3="x",D3="Nữ",I3="Người dân tộc thiểu số"),"")</f>
        <v/>
      </c>
      <c r="AJ3" s="399">
        <f>IF(B3&lt;&gt;"",AND(P3="x",I3="Người dân tộc thiểu số"),"")</f>
        <v/>
      </c>
      <c r="AK3" s="401">
        <f>IF(B3&lt;&gt;"",AND(P3="x",MENU!$E$5-'Thông tin hoc sinh'!C3&lt;31),"")</f>
        <v/>
      </c>
      <c r="AL3" s="399">
        <f>IF(B3&lt;&gt;"",AND(P3="x",R3,S3),"")</f>
        <v/>
      </c>
      <c r="AM3" s="399">
        <f>IF(B3&lt;&gt;"",AND(H3&gt;=9,P3="x"),"")</f>
        <v/>
      </c>
      <c r="AN3" s="399">
        <f>IF(B3&lt;&gt;"",AND(P3="x",X3,D3="Nữ"),"")</f>
        <v/>
      </c>
      <c r="AO3" s="399">
        <f>IF(B3&lt;&gt;"",AND(P3="x",U3,R3),"")</f>
        <v/>
      </c>
      <c r="AP3" s="399">
        <f>IF(B3&lt;&gt;"",AND(P3="x",MENU!$E$5-'Thông tin hoc sinh'!C3&lt;26),"")</f>
        <v/>
      </c>
      <c r="AQ3" s="399">
        <f>IF(B3&lt;&gt;"",AND(P3="x",X3,D3="Nữ"),"")</f>
        <v/>
      </c>
      <c r="AR3" s="399">
        <f>IF(B3&lt;&gt;"",AND(P3="x",X3,R3),"")</f>
        <v/>
      </c>
      <c r="AS3" s="399">
        <f>IF(B3&lt;&gt;"",AND(P3="x",MENU!$E$5-'Thông tin hoc sinh'!C3&gt;=26,MENU!$E$5-'Thông tin hoc sinh'!C3&lt;=45),"")</f>
        <v/>
      </c>
      <c r="AT3" s="399">
        <f>IF(B3&lt;&gt;"",AND(P3="x",AA3,D3="Nữ"),"")</f>
        <v/>
      </c>
      <c r="AU3" s="399">
        <f>IF(B3&lt;&gt;"",AND(P3="x",AA3,R3),"")</f>
        <v/>
      </c>
      <c r="AV3" s="399">
        <f>IF(B3&lt;&gt;"",AND(P3="x",MENU!$E$5-'Thông tin hoc sinh'!C3&gt;45),"")</f>
        <v/>
      </c>
      <c r="AW3" s="399">
        <f>IF(B3&lt;&gt;"",AND(P3="x",AD3,D3="Nữ"),"")</f>
        <v/>
      </c>
      <c r="AX3" s="399">
        <f>IF(B3&lt;&gt;"",AND(P3="x",AD3,R3),"")</f>
        <v/>
      </c>
    </row>
    <row r="4" ht="18.75" customFormat="1" customHeight="1" s="389">
      <c r="A4" s="390" t="inlineStr">
        <is>
          <t>02</t>
        </is>
      </c>
      <c r="B4" s="391" t="inlineStr">
        <is>
          <t>Y Điêr</t>
        </is>
      </c>
      <c r="C4" s="392" t="n">
        <v>1993</v>
      </c>
      <c r="D4" s="393" t="inlineStr">
        <is>
          <t>Nữ</t>
        </is>
      </c>
      <c r="E4" s="394" t="inlineStr">
        <is>
          <t>Xê Đăng</t>
        </is>
      </c>
      <c r="F4" s="395">
        <f>IF(YEAR(TODAY())-C4&lt;=30,"X","")</f>
        <v/>
      </c>
      <c r="G4" s="395">
        <f>IF(AND(F4="X",E4&lt;&gt;"Kinh"),"X","")</f>
        <v/>
      </c>
      <c r="H4" s="396" t="n">
        <v>12</v>
      </c>
      <c r="I4" s="397" t="inlineStr">
        <is>
          <t>Người dân tộc thiểu số</t>
        </is>
      </c>
      <c r="J4" s="395">
        <f>VLOOKUP(I4,IDs!$B$37:$C$46,2,0)</f>
        <v/>
      </c>
      <c r="K4" s="397" t="inlineStr">
        <is>
          <t>Kon Đào, ĐăkTô, Kon Tum</t>
        </is>
      </c>
      <c r="L4" s="398" t="inlineStr">
        <is>
          <t>Đăk Tô, Kon Tum</t>
        </is>
      </c>
      <c r="M4" s="398" t="inlineStr">
        <is>
          <t>Đăk Nu, Ngọk Tụ, Đăk Tô, Kon Tum</t>
        </is>
      </c>
      <c r="N4" s="399">
        <f>IF(C4="","",IF(YEAR(TODAY())-C4&lt;15,"Không đủ tuổi theo học",IF(AND(D4="Nam",YEAR(TODAY())-C4&gt;60),"Quá tuổi theo học",IF(AND(D4="Nữ",YEAR(TODAY())-C4&gt;55),"Quá tuổi theo học","Đảm bảo"))))</f>
        <v/>
      </c>
      <c r="O4" s="399">
        <f>IF(B4="","",IF(OR(LEFT(B4,1)="Y",LEFT(B4,1)="A"),"",IF(I4&lt;&gt;"Đối tượng lao động nông thôn khác","Cần hồ sơ chứng minh nhóm đối tượng","")))</f>
        <v/>
      </c>
      <c r="P4" s="400" t="inlineStr">
        <is>
          <t>x</t>
        </is>
      </c>
      <c r="Q4" s="399">
        <f>IF(B4&lt;&gt;"",AND(D4="Nữ",I4="Người dân tộc thiểu số"),"")</f>
        <v/>
      </c>
      <c r="R4" s="399">
        <f>IF(B4&lt;&gt;"",I4="Người dân tộc thiểu số","")</f>
        <v/>
      </c>
      <c r="S4" s="401">
        <f>IF(B4&lt;&gt;"",MENU!$E$5-'Thông tin hoc sinh'!C4&lt;31,"")</f>
        <v/>
      </c>
      <c r="T4" s="399">
        <f>IF(B4&lt;&gt;"",AND(R4,S4),"")</f>
        <v/>
      </c>
      <c r="U4" s="399">
        <f>IF(B4&lt;&gt;"",(H4&gt;=9),"")</f>
        <v/>
      </c>
      <c r="V4" s="399">
        <f>IF(B4&lt;&gt;"",AND(U4,D4="Nữ"),"")</f>
        <v/>
      </c>
      <c r="W4" s="399">
        <f>IF(B4&lt;&gt;"",AND(U4,R4),"")</f>
        <v/>
      </c>
      <c r="X4" s="399">
        <f>IF(B4&lt;&gt;"",MENU!$E$5-'Thông tin hoc sinh'!C4&lt;26,"")</f>
        <v/>
      </c>
      <c r="Y4" s="399">
        <f>IF(B4&lt;&gt;"",AND(X4,D4="Nữ"),"")</f>
        <v/>
      </c>
      <c r="Z4" s="399">
        <f>IF(B4&lt;&gt;"",AND(X4,R4),"")</f>
        <v/>
      </c>
      <c r="AA4" s="399">
        <f>IF(B4&lt;&gt;"",AND(MENU!$E$5-'Thông tin hoc sinh'!C4&gt;=26,MENU!$E$5-'Thông tin hoc sinh'!C4&lt;=45),"")</f>
        <v/>
      </c>
      <c r="AB4" s="399">
        <f>IF(B4&lt;&gt;"",AND(AA4,D4="Nữ"),"")</f>
        <v/>
      </c>
      <c r="AC4" s="399">
        <f>IF(B4&lt;&gt;"",AND(AA4,R4),"")</f>
        <v/>
      </c>
      <c r="AD4" s="399">
        <f>IF(B4&lt;&gt;"",MENU!$E$5-'Thông tin hoc sinh'!C4&gt;45,"")</f>
        <v/>
      </c>
      <c r="AE4" s="399">
        <f>IF(B4&lt;&gt;"",AND(AD4,D4="Nữ"),"")</f>
        <v/>
      </c>
      <c r="AF4" s="399">
        <f>IF(B4&lt;&gt;"",AND(AD4,R4),"")</f>
        <v/>
      </c>
      <c r="AG4" s="399">
        <f>IF(P4&lt;&gt;"",J4,"")</f>
        <v/>
      </c>
      <c r="AH4" s="399">
        <f>IF(B4&lt;&gt;"",AND(P4="x",D4="Nữ"),"")</f>
        <v/>
      </c>
      <c r="AI4" s="399">
        <f>IF(B4&lt;&gt;"",AND(P4="x",D4="Nữ",I4="Người dân tộc thiểu số"),"")</f>
        <v/>
      </c>
      <c r="AJ4" s="399">
        <f>IF(B4&lt;&gt;"",AND(P4="x",I4="Người dân tộc thiểu số"),"")</f>
        <v/>
      </c>
      <c r="AK4" s="401">
        <f>IF(B4&lt;&gt;"",AND(P4="x",MENU!$E$5-'Thông tin hoc sinh'!C4&lt;31),"")</f>
        <v/>
      </c>
      <c r="AL4" s="399">
        <f>IF(B4&lt;&gt;"",AND(P4="x",R4,S4),"")</f>
        <v/>
      </c>
      <c r="AM4" s="399">
        <f>IF(B4&lt;&gt;"",AND(H4&gt;=9,P4="x"),"")</f>
        <v/>
      </c>
      <c r="AN4" s="399">
        <f>IF(B4&lt;&gt;"",AND(P4="x",X4,D4="Nữ"),"")</f>
        <v/>
      </c>
      <c r="AO4" s="399">
        <f>IF(B4&lt;&gt;"",AND(P4="x",U4,R4),"")</f>
        <v/>
      </c>
      <c r="AP4" s="399">
        <f>IF(B4&lt;&gt;"",AND(P4="x",MENU!$E$5-'Thông tin hoc sinh'!C4&lt;26),"")</f>
        <v/>
      </c>
      <c r="AQ4" s="399">
        <f>IF(B4&lt;&gt;"",AND(P4="x",X4,D4="Nữ"),"")</f>
        <v/>
      </c>
      <c r="AR4" s="399">
        <f>IF(B4&lt;&gt;"",AND(P4="x",X4,R4),"")</f>
        <v/>
      </c>
      <c r="AS4" s="399">
        <f>IF(B4&lt;&gt;"",AND(P4="x",MENU!$E$5-'Thông tin hoc sinh'!C4&gt;=26,MENU!$E$5-'Thông tin hoc sinh'!C4&lt;=45),"")</f>
        <v/>
      </c>
      <c r="AT4" s="399">
        <f>IF(B4&lt;&gt;"",AND(P4="x",AA4,D4="Nữ"),"")</f>
        <v/>
      </c>
      <c r="AU4" s="399">
        <f>IF(B4&lt;&gt;"",AND(P4="x",AA4,R4),"")</f>
        <v/>
      </c>
      <c r="AV4" s="399">
        <f>IF(B4&lt;&gt;"",AND(P4="x",MENU!$E$5-'Thông tin hoc sinh'!C4&gt;45),"")</f>
        <v/>
      </c>
      <c r="AW4" s="399">
        <f>IF(B4&lt;&gt;"",AND(P4="x",AD4,D4="Nữ"),"")</f>
        <v/>
      </c>
      <c r="AX4" s="399">
        <f>IF(B4&lt;&gt;"",AND(P4="x",AD4,R4),"")</f>
        <v/>
      </c>
    </row>
    <row r="5" ht="18.75" customFormat="1" customHeight="1" s="389">
      <c r="A5" s="390" t="inlineStr">
        <is>
          <t>03</t>
        </is>
      </c>
      <c r="B5" s="391" t="inlineStr">
        <is>
          <t>Y Hdiết</t>
        </is>
      </c>
      <c r="C5" s="392" t="n">
        <v>1995</v>
      </c>
      <c r="D5" s="393" t="inlineStr">
        <is>
          <t>Nữ</t>
        </is>
      </c>
      <c r="E5" s="394" t="inlineStr">
        <is>
          <t>Xê Đăng</t>
        </is>
      </c>
      <c r="F5" s="395">
        <f>IF(YEAR(TODAY())-C5&lt;=30,"X","")</f>
        <v/>
      </c>
      <c r="G5" s="395">
        <f>IF(AND(F5="X",E5&lt;&gt;"Kinh"),"X","")</f>
        <v/>
      </c>
      <c r="H5" s="396" t="n">
        <v>11</v>
      </c>
      <c r="I5" s="397" t="inlineStr">
        <is>
          <t>Người dân tộc thiểu số</t>
        </is>
      </c>
      <c r="J5" s="395">
        <f>VLOOKUP(I5,IDs!$B$37:$C$46,2,0)</f>
        <v/>
      </c>
      <c r="K5" s="397" t="inlineStr">
        <is>
          <t>Kon Đào, ĐăkTô, Kon Tum</t>
        </is>
      </c>
      <c r="L5" s="398" t="inlineStr">
        <is>
          <t>Đăk Tô, Kon Tum</t>
        </is>
      </c>
      <c r="M5" s="398" t="inlineStr">
        <is>
          <t>Đăk Nu, Ngọk Tụ, Đăk Tô, Kon Tum</t>
        </is>
      </c>
      <c r="N5" s="399">
        <f>IF(C5="","",IF(YEAR(TODAY())-C5&lt;15,"Không đủ tuổi theo học",IF(AND(D5="Nam",YEAR(TODAY())-C5&gt;60),"Quá tuổi theo học",IF(AND(D5="Nữ",YEAR(TODAY())-C5&gt;55),"Quá tuổi theo học","Đảm bảo"))))</f>
        <v/>
      </c>
      <c r="O5" s="399">
        <f>IF(B5="","",IF(OR(LEFT(B5,1)="Y",LEFT(B5,1)="A"),"",IF(I5&lt;&gt;"Đối tượng lao động nông thôn khác","Cần hồ sơ chứng minh nhóm đối tượng","")))</f>
        <v/>
      </c>
      <c r="P5" s="400" t="inlineStr">
        <is>
          <t>x</t>
        </is>
      </c>
      <c r="Q5" s="399">
        <f>IF(B5&lt;&gt;"",AND(D5="Nữ",I5="Người dân tộc thiểu số"),"")</f>
        <v/>
      </c>
      <c r="R5" s="399">
        <f>IF(B5&lt;&gt;"",I5="Người dân tộc thiểu số","")</f>
        <v/>
      </c>
      <c r="S5" s="401">
        <f>IF(B5&lt;&gt;"",MENU!$E$5-'Thông tin hoc sinh'!C5&lt;31,"")</f>
        <v/>
      </c>
      <c r="T5" s="399">
        <f>IF(B5&lt;&gt;"",AND(R5,S5),"")</f>
        <v/>
      </c>
      <c r="U5" s="399">
        <f>IF(B5&lt;&gt;"",(H5&gt;=9),"")</f>
        <v/>
      </c>
      <c r="V5" s="399">
        <f>IF(B5&lt;&gt;"",AND(U5,D5="Nữ"),"")</f>
        <v/>
      </c>
      <c r="W5" s="399">
        <f>IF(B5&lt;&gt;"",AND(U5,R5),"")</f>
        <v/>
      </c>
      <c r="X5" s="399">
        <f>IF(B5&lt;&gt;"",MENU!$E$5-'Thông tin hoc sinh'!C5&lt;26,"")</f>
        <v/>
      </c>
      <c r="Y5" s="399">
        <f>IF(B5&lt;&gt;"",AND(X5,D5="Nữ"),"")</f>
        <v/>
      </c>
      <c r="Z5" s="399">
        <f>IF(B5&lt;&gt;"",AND(X5,R5),"")</f>
        <v/>
      </c>
      <c r="AA5" s="399">
        <f>IF(B5&lt;&gt;"",AND(MENU!$E$5-'Thông tin hoc sinh'!C5&gt;=26,MENU!$E$5-'Thông tin hoc sinh'!C5&lt;=45),"")</f>
        <v/>
      </c>
      <c r="AB5" s="399">
        <f>IF(B5&lt;&gt;"",AND(AA5,D5="Nữ"),"")</f>
        <v/>
      </c>
      <c r="AC5" s="399">
        <f>IF(B5&lt;&gt;"",AND(AA5,R5),"")</f>
        <v/>
      </c>
      <c r="AD5" s="399">
        <f>IF(B5&lt;&gt;"",MENU!$E$5-'Thông tin hoc sinh'!C5&gt;45,"")</f>
        <v/>
      </c>
      <c r="AE5" s="399">
        <f>IF(B5&lt;&gt;"",AND(AD5,D5="Nữ"),"")</f>
        <v/>
      </c>
      <c r="AF5" s="399">
        <f>IF(B5&lt;&gt;"",AND(AD5,R5),"")</f>
        <v/>
      </c>
      <c r="AG5" s="399">
        <f>IF(P5&lt;&gt;"",J5,"")</f>
        <v/>
      </c>
      <c r="AH5" s="399">
        <f>IF(B5&lt;&gt;"",AND(P5="x",D5="Nữ"),"")</f>
        <v/>
      </c>
      <c r="AI5" s="399">
        <f>IF(B5&lt;&gt;"",AND(P5="x",D5="Nữ",I5="Người dân tộc thiểu số"),"")</f>
        <v/>
      </c>
      <c r="AJ5" s="399">
        <f>IF(B5&lt;&gt;"",AND(P5="x",I5="Người dân tộc thiểu số"),"")</f>
        <v/>
      </c>
      <c r="AK5" s="401">
        <f>IF(B5&lt;&gt;"",AND(P5="x",MENU!$E$5-'Thông tin hoc sinh'!C5&lt;31),"")</f>
        <v/>
      </c>
      <c r="AL5" s="399">
        <f>IF(B5&lt;&gt;"",AND(P5="x",R5,S5),"")</f>
        <v/>
      </c>
      <c r="AM5" s="399">
        <f>IF(B5&lt;&gt;"",AND(H5&gt;=9,P5="x"),"")</f>
        <v/>
      </c>
      <c r="AN5" s="399">
        <f>IF(B5&lt;&gt;"",AND(P5="x",X5,D5="Nữ"),"")</f>
        <v/>
      </c>
      <c r="AO5" s="399">
        <f>IF(B5&lt;&gt;"",AND(P5="x",U5,R5),"")</f>
        <v/>
      </c>
      <c r="AP5" s="399">
        <f>IF(B5&lt;&gt;"",AND(P5="x",MENU!$E$5-'Thông tin hoc sinh'!C5&lt;26),"")</f>
        <v/>
      </c>
      <c r="AQ5" s="399">
        <f>IF(B5&lt;&gt;"",AND(P5="x",X5,D5="Nữ"),"")</f>
        <v/>
      </c>
      <c r="AR5" s="399">
        <f>IF(B5&lt;&gt;"",AND(P5="x",X5,R5),"")</f>
        <v/>
      </c>
      <c r="AS5" s="399">
        <f>IF(B5&lt;&gt;"",AND(P5="x",MENU!$E$5-'Thông tin hoc sinh'!C5&gt;=26,MENU!$E$5-'Thông tin hoc sinh'!C5&lt;=45),"")</f>
        <v/>
      </c>
      <c r="AT5" s="399">
        <f>IF(B5&lt;&gt;"",AND(P5="x",AA5,D5="Nữ"),"")</f>
        <v/>
      </c>
      <c r="AU5" s="399">
        <f>IF(B5&lt;&gt;"",AND(P5="x",AA5,R5),"")</f>
        <v/>
      </c>
      <c r="AV5" s="399">
        <f>IF(B5&lt;&gt;"",AND(P5="x",MENU!$E$5-'Thông tin hoc sinh'!C5&gt;45),"")</f>
        <v/>
      </c>
      <c r="AW5" s="399">
        <f>IF(B5&lt;&gt;"",AND(P5="x",AD5,D5="Nữ"),"")</f>
        <v/>
      </c>
      <c r="AX5" s="399">
        <f>IF(B5&lt;&gt;"",AND(P5="x",AD5,R5),"")</f>
        <v/>
      </c>
    </row>
    <row r="6" ht="18.75" customFormat="1" customHeight="1" s="389">
      <c r="A6" s="390" t="inlineStr">
        <is>
          <t>04</t>
        </is>
      </c>
      <c r="B6" s="391" t="inlineStr">
        <is>
          <t>Y Sương</t>
        </is>
      </c>
      <c r="C6" s="392" t="n">
        <v>1981</v>
      </c>
      <c r="D6" s="393" t="inlineStr">
        <is>
          <t>Nữ</t>
        </is>
      </c>
      <c r="E6" s="394" t="inlineStr">
        <is>
          <t>Xê Đăng</t>
        </is>
      </c>
      <c r="F6" s="395">
        <f>IF(YEAR(TODAY())-C6&lt;=30,"X","")</f>
        <v/>
      </c>
      <c r="G6" s="395">
        <f>IF(AND(F6="X",E6&lt;&gt;"Kinh"),"X","")</f>
        <v/>
      </c>
      <c r="H6" s="396" t="n">
        <v>9</v>
      </c>
      <c r="I6" s="397" t="inlineStr">
        <is>
          <t>Người dân tộc thiểu số</t>
        </is>
      </c>
      <c r="J6" s="395">
        <f>VLOOKUP(I6,IDs!$B$37:$C$46,2,0)</f>
        <v/>
      </c>
      <c r="K6" s="397" t="inlineStr">
        <is>
          <t>Kon Đào, ĐăkTô, Kon Tum</t>
        </is>
      </c>
      <c r="L6" s="398" t="inlineStr">
        <is>
          <t>Đăk Tô, Kon Tum</t>
        </is>
      </c>
      <c r="M6" s="398" t="inlineStr">
        <is>
          <t>Đăk Nu, Ngọk Tụ, Đăk Tô, Kon Tum</t>
        </is>
      </c>
      <c r="N6" s="399">
        <f>IF(C6="","",IF(YEAR(TODAY())-C6&lt;15,"Không đủ tuổi theo học",IF(AND(D6="Nam",YEAR(TODAY())-C6&gt;60),"Quá tuổi theo học",IF(AND(D6="Nữ",YEAR(TODAY())-C6&gt;55),"Quá tuổi theo học","Đảm bảo"))))</f>
        <v/>
      </c>
      <c r="O6" s="399">
        <f>IF(B6="","",IF(OR(LEFT(B6,1)="Y",LEFT(B6,1)="A"),"",IF(I6&lt;&gt;"Đối tượng lao động nông thôn khác","Cần hồ sơ chứng minh nhóm đối tượng","")))</f>
        <v/>
      </c>
      <c r="P6" s="400" t="inlineStr">
        <is>
          <t>x</t>
        </is>
      </c>
      <c r="Q6" s="399">
        <f>IF(B6&lt;&gt;"",AND(D6="Nữ",I6="Người dân tộc thiểu số"),"")</f>
        <v/>
      </c>
      <c r="R6" s="399">
        <f>IF(B6&lt;&gt;"",I6="Người dân tộc thiểu số","")</f>
        <v/>
      </c>
      <c r="S6" s="401">
        <f>IF(B6&lt;&gt;"",MENU!$E$5-'Thông tin hoc sinh'!C6&lt;31,"")</f>
        <v/>
      </c>
      <c r="T6" s="399">
        <f>IF(B6&lt;&gt;"",AND(R6,S6),"")</f>
        <v/>
      </c>
      <c r="U6" s="399">
        <f>IF(B6&lt;&gt;"",(H6&gt;=9),"")</f>
        <v/>
      </c>
      <c r="V6" s="399">
        <f>IF(B6&lt;&gt;"",AND(U6,D6="Nữ"),"")</f>
        <v/>
      </c>
      <c r="W6" s="399">
        <f>IF(B6&lt;&gt;"",AND(U6,R6),"")</f>
        <v/>
      </c>
      <c r="X6" s="399">
        <f>IF(B6&lt;&gt;"",MENU!$E$5-'Thông tin hoc sinh'!C6&lt;26,"")</f>
        <v/>
      </c>
      <c r="Y6" s="399">
        <f>IF(B6&lt;&gt;"",AND(X6,D6="Nữ"),"")</f>
        <v/>
      </c>
      <c r="Z6" s="399">
        <f>IF(B6&lt;&gt;"",AND(X6,R6),"")</f>
        <v/>
      </c>
      <c r="AA6" s="399">
        <f>IF(B6&lt;&gt;"",AND(MENU!$E$5-'Thông tin hoc sinh'!C6&gt;=26,MENU!$E$5-'Thông tin hoc sinh'!C6&lt;=45),"")</f>
        <v/>
      </c>
      <c r="AB6" s="399">
        <f>IF(B6&lt;&gt;"",AND(AA6,D6="Nữ"),"")</f>
        <v/>
      </c>
      <c r="AC6" s="399">
        <f>IF(B6&lt;&gt;"",AND(AA6,R6),"")</f>
        <v/>
      </c>
      <c r="AD6" s="399">
        <f>IF(B6&lt;&gt;"",MENU!$E$5-'Thông tin hoc sinh'!C6&gt;45,"")</f>
        <v/>
      </c>
      <c r="AE6" s="399">
        <f>IF(B6&lt;&gt;"",AND(AD6,D6="Nữ"),"")</f>
        <v/>
      </c>
      <c r="AF6" s="399">
        <f>IF(B6&lt;&gt;"",AND(AD6,R6),"")</f>
        <v/>
      </c>
      <c r="AG6" s="399">
        <f>IF(P6&lt;&gt;"",J6,"")</f>
        <v/>
      </c>
      <c r="AH6" s="399">
        <f>IF(B6&lt;&gt;"",AND(P6="x",D6="Nữ"),"")</f>
        <v/>
      </c>
      <c r="AI6" s="399">
        <f>IF(B6&lt;&gt;"",AND(P6="x",D6="Nữ",I6="Người dân tộc thiểu số"),"")</f>
        <v/>
      </c>
      <c r="AJ6" s="399">
        <f>IF(B6&lt;&gt;"",AND(P6="x",I6="Người dân tộc thiểu số"),"")</f>
        <v/>
      </c>
      <c r="AK6" s="401">
        <f>IF(B6&lt;&gt;"",AND(P6="x",MENU!$E$5-'Thông tin hoc sinh'!C6&lt;31),"")</f>
        <v/>
      </c>
      <c r="AL6" s="399">
        <f>IF(B6&lt;&gt;"",AND(P6="x",R6,S6),"")</f>
        <v/>
      </c>
      <c r="AM6" s="399">
        <f>IF(B6&lt;&gt;"",AND(H6&gt;=9,P6="x"),"")</f>
        <v/>
      </c>
      <c r="AN6" s="399">
        <f>IF(B6&lt;&gt;"",AND(P6="x",X6,D6="Nữ"),"")</f>
        <v/>
      </c>
      <c r="AO6" s="399">
        <f>IF(B6&lt;&gt;"",AND(P6="x",U6,R6),"")</f>
        <v/>
      </c>
      <c r="AP6" s="399">
        <f>IF(B6&lt;&gt;"",AND(P6="x",MENU!$E$5-'Thông tin hoc sinh'!C6&lt;26),"")</f>
        <v/>
      </c>
      <c r="AQ6" s="399">
        <f>IF(B6&lt;&gt;"",AND(P6="x",X6,D6="Nữ"),"")</f>
        <v/>
      </c>
      <c r="AR6" s="399">
        <f>IF(B6&lt;&gt;"",AND(P6="x",X6,R6),"")</f>
        <v/>
      </c>
      <c r="AS6" s="399">
        <f>IF(B6&lt;&gt;"",AND(P6="x",MENU!$E$5-'Thông tin hoc sinh'!C6&gt;=26,MENU!$E$5-'Thông tin hoc sinh'!C6&lt;=45),"")</f>
        <v/>
      </c>
      <c r="AT6" s="399">
        <f>IF(B6&lt;&gt;"",AND(P6="x",AA6,D6="Nữ"),"")</f>
        <v/>
      </c>
      <c r="AU6" s="399">
        <f>IF(B6&lt;&gt;"",AND(P6="x",AA6,R6),"")</f>
        <v/>
      </c>
      <c r="AV6" s="399">
        <f>IF(B6&lt;&gt;"",AND(P6="x",MENU!$E$5-'Thông tin hoc sinh'!C6&gt;45),"")</f>
        <v/>
      </c>
      <c r="AW6" s="399">
        <f>IF(B6&lt;&gt;"",AND(P6="x",AD6,D6="Nữ"),"")</f>
        <v/>
      </c>
      <c r="AX6" s="399">
        <f>IF(B6&lt;&gt;"",AND(P6="x",AD6,R6),"")</f>
        <v/>
      </c>
    </row>
    <row r="7" ht="18.75" customFormat="1" customHeight="1" s="389">
      <c r="A7" s="390" t="inlineStr">
        <is>
          <t>05</t>
        </is>
      </c>
      <c r="B7" s="391" t="inlineStr">
        <is>
          <t>Y Minh</t>
        </is>
      </c>
      <c r="C7" s="392" t="n">
        <v>1975</v>
      </c>
      <c r="D7" s="393" t="inlineStr">
        <is>
          <t>Nữ</t>
        </is>
      </c>
      <c r="E7" s="394" t="inlineStr">
        <is>
          <t>Xê Đăng</t>
        </is>
      </c>
      <c r="F7" s="395">
        <f>IF(YEAR(TODAY())-C7&lt;=30,"X","")</f>
        <v/>
      </c>
      <c r="G7" s="395">
        <f>IF(AND(F7="X",E7&lt;&gt;"Kinh"),"X","")</f>
        <v/>
      </c>
      <c r="H7" s="396" t="n">
        <v>5</v>
      </c>
      <c r="I7" s="397" t="inlineStr">
        <is>
          <t>Người dân tộc thiểu số</t>
        </is>
      </c>
      <c r="J7" s="395">
        <f>VLOOKUP(I7,IDs!$B$37:$C$46,2,0)</f>
        <v/>
      </c>
      <c r="K7" s="397" t="inlineStr">
        <is>
          <t>Kon Đào, ĐăkTô, Kon Tum</t>
        </is>
      </c>
      <c r="L7" s="398" t="inlineStr">
        <is>
          <t>Tu Mơ Rông, Kon Tum</t>
        </is>
      </c>
      <c r="M7" s="398" t="inlineStr">
        <is>
          <t>Đăk Nu, Ngọk Tụ, Đăk Tô, Kon Tum</t>
        </is>
      </c>
      <c r="N7" s="399">
        <f>IF(C7="","",IF(YEAR(TODAY())-C7&lt;15,"Không đủ tuổi theo học",IF(AND(D7="Nam",YEAR(TODAY())-C7&gt;60),"Quá tuổi theo học",IF(AND(D7="Nữ",YEAR(TODAY())-C7&gt;55),"Quá tuổi theo học","Đảm bảo"))))</f>
        <v/>
      </c>
      <c r="O7" s="399">
        <f>IF(B7="","",IF(OR(LEFT(B7,1)="Y",LEFT(B7,1)="A"),"",IF(I7&lt;&gt;"Đối tượng lao động nông thôn khác","Cần hồ sơ chứng minh nhóm đối tượng","")))</f>
        <v/>
      </c>
      <c r="P7" s="400" t="inlineStr">
        <is>
          <t>x</t>
        </is>
      </c>
      <c r="Q7" s="399">
        <f>IF(B7&lt;&gt;"",AND(D7="Nữ",I7="Người dân tộc thiểu số"),"")</f>
        <v/>
      </c>
      <c r="R7" s="399">
        <f>IF(B7&lt;&gt;"",I7="Người dân tộc thiểu số","")</f>
        <v/>
      </c>
      <c r="S7" s="401">
        <f>IF(B7&lt;&gt;"",MENU!$E$5-'Thông tin hoc sinh'!C7&lt;31,"")</f>
        <v/>
      </c>
      <c r="T7" s="399">
        <f>IF(B7&lt;&gt;"",AND(R7,S7),"")</f>
        <v/>
      </c>
      <c r="U7" s="399">
        <f>IF(B7&lt;&gt;"",(H7&gt;=9),"")</f>
        <v/>
      </c>
      <c r="V7" s="399">
        <f>IF(B7&lt;&gt;"",AND(U7,D7="Nữ"),"")</f>
        <v/>
      </c>
      <c r="W7" s="399">
        <f>IF(B7&lt;&gt;"",AND(U7,R7),"")</f>
        <v/>
      </c>
      <c r="X7" s="399">
        <f>IF(B7&lt;&gt;"",MENU!$E$5-'Thông tin hoc sinh'!C7&lt;26,"")</f>
        <v/>
      </c>
      <c r="Y7" s="399">
        <f>IF(B7&lt;&gt;"",AND(X7,D7="Nữ"),"")</f>
        <v/>
      </c>
      <c r="Z7" s="399">
        <f>IF(B7&lt;&gt;"",AND(X7,R7),"")</f>
        <v/>
      </c>
      <c r="AA7" s="399">
        <f>IF(B7&lt;&gt;"",AND(MENU!$E$5-'Thông tin hoc sinh'!C7&gt;=26,MENU!$E$5-'Thông tin hoc sinh'!C7&lt;=45),"")</f>
        <v/>
      </c>
      <c r="AB7" s="399">
        <f>IF(B7&lt;&gt;"",AND(AA7,D7="Nữ"),"")</f>
        <v/>
      </c>
      <c r="AC7" s="399">
        <f>IF(B7&lt;&gt;"",AND(AA7,R7),"")</f>
        <v/>
      </c>
      <c r="AD7" s="399">
        <f>IF(B7&lt;&gt;"",MENU!$E$5-'Thông tin hoc sinh'!C7&gt;45,"")</f>
        <v/>
      </c>
      <c r="AE7" s="399">
        <f>IF(B7&lt;&gt;"",AND(AD7,D7="Nữ"),"")</f>
        <v/>
      </c>
      <c r="AF7" s="399">
        <f>IF(B7&lt;&gt;"",AND(AD7,R7),"")</f>
        <v/>
      </c>
      <c r="AG7" s="399">
        <f>IF(P7&lt;&gt;"",J7,"")</f>
        <v/>
      </c>
      <c r="AH7" s="399">
        <f>IF(B7&lt;&gt;"",AND(P7="x",D7="Nữ"),"")</f>
        <v/>
      </c>
      <c r="AI7" s="399">
        <f>IF(B7&lt;&gt;"",AND(P7="x",D7="Nữ",I7="Người dân tộc thiểu số"),"")</f>
        <v/>
      </c>
      <c r="AJ7" s="399">
        <f>IF(B7&lt;&gt;"",AND(P7="x",I7="Người dân tộc thiểu số"),"")</f>
        <v/>
      </c>
      <c r="AK7" s="401">
        <f>IF(B7&lt;&gt;"",AND(P7="x",MENU!$E$5-'Thông tin hoc sinh'!C7&lt;31),"")</f>
        <v/>
      </c>
      <c r="AL7" s="399">
        <f>IF(B7&lt;&gt;"",AND(P7="x",R7,S7),"")</f>
        <v/>
      </c>
      <c r="AM7" s="399">
        <f>IF(B7&lt;&gt;"",AND(H7&gt;=9,P7="x"),"")</f>
        <v/>
      </c>
      <c r="AN7" s="399">
        <f>IF(B7&lt;&gt;"",AND(P7="x",X7,D7="Nữ"),"")</f>
        <v/>
      </c>
      <c r="AO7" s="399">
        <f>IF(B7&lt;&gt;"",AND(P7="x",U7,R7),"")</f>
        <v/>
      </c>
      <c r="AP7" s="399">
        <f>IF(B7&lt;&gt;"",AND(P7="x",MENU!$E$5-'Thông tin hoc sinh'!C7&lt;26),"")</f>
        <v/>
      </c>
      <c r="AQ7" s="399">
        <f>IF(B7&lt;&gt;"",AND(P7="x",X7,D7="Nữ"),"")</f>
        <v/>
      </c>
      <c r="AR7" s="399">
        <f>IF(B7&lt;&gt;"",AND(P7="x",X7,R7),"")</f>
        <v/>
      </c>
      <c r="AS7" s="399">
        <f>IF(B7&lt;&gt;"",AND(P7="x",MENU!$E$5-'Thông tin hoc sinh'!C7&gt;=26,MENU!$E$5-'Thông tin hoc sinh'!C7&lt;=45),"")</f>
        <v/>
      </c>
      <c r="AT7" s="399">
        <f>IF(B7&lt;&gt;"",AND(P7="x",AA7,D7="Nữ"),"")</f>
        <v/>
      </c>
      <c r="AU7" s="399">
        <f>IF(B7&lt;&gt;"",AND(P7="x",AA7,R7),"")</f>
        <v/>
      </c>
      <c r="AV7" s="399">
        <f>IF(B7&lt;&gt;"",AND(P7="x",MENU!$E$5-'Thông tin hoc sinh'!C7&gt;45),"")</f>
        <v/>
      </c>
      <c r="AW7" s="399">
        <f>IF(B7&lt;&gt;"",AND(P7="x",AD7,D7="Nữ"),"")</f>
        <v/>
      </c>
      <c r="AX7" s="399">
        <f>IF(B7&lt;&gt;"",AND(P7="x",AD7,R7),"")</f>
        <v/>
      </c>
    </row>
    <row r="8" ht="18.75" customFormat="1" customHeight="1" s="389">
      <c r="A8" s="390" t="inlineStr">
        <is>
          <t>06</t>
        </is>
      </c>
      <c r="B8" s="391" t="inlineStr">
        <is>
          <t>Y Dép</t>
        </is>
      </c>
      <c r="C8" s="392" t="n">
        <v>1956</v>
      </c>
      <c r="D8" s="393" t="inlineStr">
        <is>
          <t>Nữ</t>
        </is>
      </c>
      <c r="E8" s="394" t="inlineStr">
        <is>
          <t>Xê Đăng</t>
        </is>
      </c>
      <c r="F8" s="395">
        <f>IF(YEAR(TODAY())-C8&lt;=30,"X","")</f>
        <v/>
      </c>
      <c r="G8" s="395">
        <f>IF(AND(F8="X",E8&lt;&gt;"Kinh"),"X","")</f>
        <v/>
      </c>
      <c r="H8" s="396" t="n">
        <v>2</v>
      </c>
      <c r="I8" s="397" t="inlineStr">
        <is>
          <t>Người dân tộc thiểu số</t>
        </is>
      </c>
      <c r="J8" s="395">
        <f>VLOOKUP(I8,IDs!$B$37:$C$46,2,0)</f>
        <v/>
      </c>
      <c r="K8" s="397" t="inlineStr">
        <is>
          <t>Kon Đào, ĐăkTô, Kon Tum</t>
        </is>
      </c>
      <c r="L8" s="398" t="inlineStr">
        <is>
          <t>Đăk Tô, Kon Tum</t>
        </is>
      </c>
      <c r="M8" s="398" t="inlineStr">
        <is>
          <t>Đăk Nu, Ngọk Tụ, Đăk Tô, Kon Tum</t>
        </is>
      </c>
      <c r="N8" s="399">
        <f>IF(C8="","",IF(YEAR(TODAY())-C8&lt;15,"Không đủ tuổi theo học",IF(AND(D8="Nam",YEAR(TODAY())-C8&gt;60),"Quá tuổi theo học",IF(AND(D8="Nữ",YEAR(TODAY())-C8&gt;55),"Quá tuổi theo học","Đảm bảo"))))</f>
        <v/>
      </c>
      <c r="O8" s="399">
        <f>IF(B8="","",IF(OR(LEFT(B8,1)="Y",LEFT(B8,1)="A"),"",IF(I8&lt;&gt;"Đối tượng lao động nông thôn khác","Cần hồ sơ chứng minh nhóm đối tượng","")))</f>
        <v/>
      </c>
      <c r="P8" s="400" t="inlineStr">
        <is>
          <t>x</t>
        </is>
      </c>
      <c r="Q8" s="399">
        <f>IF(B8&lt;&gt;"",AND(D8="Nữ",I8="Người dân tộc thiểu số"),"")</f>
        <v/>
      </c>
      <c r="R8" s="399">
        <f>IF(B8&lt;&gt;"",I8="Người dân tộc thiểu số","")</f>
        <v/>
      </c>
      <c r="S8" s="401">
        <f>IF(B8&lt;&gt;"",MENU!$E$5-'Thông tin hoc sinh'!C8&lt;31,"")</f>
        <v/>
      </c>
      <c r="T8" s="399">
        <f>IF(B8&lt;&gt;"",AND(R8,S8),"")</f>
        <v/>
      </c>
      <c r="U8" s="399">
        <f>IF(B8&lt;&gt;"",(H8&gt;=9),"")</f>
        <v/>
      </c>
      <c r="V8" s="399">
        <f>IF(B8&lt;&gt;"",AND(U8,D8="Nữ"),"")</f>
        <v/>
      </c>
      <c r="W8" s="399">
        <f>IF(B8&lt;&gt;"",AND(U8,R8),"")</f>
        <v/>
      </c>
      <c r="X8" s="399">
        <f>IF(B8&lt;&gt;"",MENU!$E$5-'Thông tin hoc sinh'!C8&lt;26,"")</f>
        <v/>
      </c>
      <c r="Y8" s="399">
        <f>IF(B8&lt;&gt;"",AND(X8,D8="Nữ"),"")</f>
        <v/>
      </c>
      <c r="Z8" s="399">
        <f>IF(B8&lt;&gt;"",AND(X8,R8),"")</f>
        <v/>
      </c>
      <c r="AA8" s="399">
        <f>IF(B8&lt;&gt;"",AND(MENU!$E$5-'Thông tin hoc sinh'!C8&gt;=26,MENU!$E$5-'Thông tin hoc sinh'!C8&lt;=45),"")</f>
        <v/>
      </c>
      <c r="AB8" s="399">
        <f>IF(B8&lt;&gt;"",AND(AA8,D8="Nữ"),"")</f>
        <v/>
      </c>
      <c r="AC8" s="399">
        <f>IF(B8&lt;&gt;"",AND(AA8,R8),"")</f>
        <v/>
      </c>
      <c r="AD8" s="399">
        <f>IF(B8&lt;&gt;"",MENU!$E$5-'Thông tin hoc sinh'!C8&gt;45,"")</f>
        <v/>
      </c>
      <c r="AE8" s="399">
        <f>IF(B8&lt;&gt;"",AND(AD8,D8="Nữ"),"")</f>
        <v/>
      </c>
      <c r="AF8" s="399">
        <f>IF(B8&lt;&gt;"",AND(AD8,R8),"")</f>
        <v/>
      </c>
      <c r="AG8" s="399">
        <f>IF(P8&lt;&gt;"",J8,"")</f>
        <v/>
      </c>
      <c r="AH8" s="399">
        <f>IF(B8&lt;&gt;"",AND(P8="x",D8="Nữ"),"")</f>
        <v/>
      </c>
      <c r="AI8" s="399">
        <f>IF(B8&lt;&gt;"",AND(P8="x",D8="Nữ",I8="Người dân tộc thiểu số"),"")</f>
        <v/>
      </c>
      <c r="AJ8" s="399">
        <f>IF(B8&lt;&gt;"",AND(P8="x",I8="Người dân tộc thiểu số"),"")</f>
        <v/>
      </c>
      <c r="AK8" s="401">
        <f>IF(B8&lt;&gt;"",AND(P8="x",MENU!$E$5-'Thông tin hoc sinh'!C8&lt;31),"")</f>
        <v/>
      </c>
      <c r="AL8" s="399">
        <f>IF(B8&lt;&gt;"",AND(P8="x",R8,S8),"")</f>
        <v/>
      </c>
      <c r="AM8" s="399">
        <f>IF(B8&lt;&gt;"",AND(H8&gt;=9,P8="x"),"")</f>
        <v/>
      </c>
      <c r="AN8" s="399">
        <f>IF(B8&lt;&gt;"",AND(P8="x",X8,D8="Nữ"),"")</f>
        <v/>
      </c>
      <c r="AO8" s="399">
        <f>IF(B8&lt;&gt;"",AND(P8="x",U8,R8),"")</f>
        <v/>
      </c>
      <c r="AP8" s="399">
        <f>IF(B8&lt;&gt;"",AND(P8="x",MENU!$E$5-'Thông tin hoc sinh'!C8&lt;26),"")</f>
        <v/>
      </c>
      <c r="AQ8" s="399">
        <f>IF(B8&lt;&gt;"",AND(P8="x",X8,D8="Nữ"),"")</f>
        <v/>
      </c>
      <c r="AR8" s="399">
        <f>IF(B8&lt;&gt;"",AND(P8="x",X8,R8),"")</f>
        <v/>
      </c>
      <c r="AS8" s="399">
        <f>IF(B8&lt;&gt;"",AND(P8="x",MENU!$E$5-'Thông tin hoc sinh'!C8&gt;=26,MENU!$E$5-'Thông tin hoc sinh'!C8&lt;=45),"")</f>
        <v/>
      </c>
      <c r="AT8" s="399">
        <f>IF(B8&lt;&gt;"",AND(P8="x",AA8,D8="Nữ"),"")</f>
        <v/>
      </c>
      <c r="AU8" s="399">
        <f>IF(B8&lt;&gt;"",AND(P8="x",AA8,R8),"")</f>
        <v/>
      </c>
      <c r="AV8" s="399">
        <f>IF(B8&lt;&gt;"",AND(P8="x",MENU!$E$5-'Thông tin hoc sinh'!C8&gt;45),"")</f>
        <v/>
      </c>
      <c r="AW8" s="399">
        <f>IF(B8&lt;&gt;"",AND(P8="x",AD8,D8="Nữ"),"")</f>
        <v/>
      </c>
      <c r="AX8" s="399">
        <f>IF(B8&lt;&gt;"",AND(P8="x",AD8,R8),"")</f>
        <v/>
      </c>
    </row>
    <row r="9" ht="18.75" customFormat="1" customHeight="1" s="389">
      <c r="A9" s="390" t="inlineStr">
        <is>
          <t>07</t>
        </is>
      </c>
      <c r="B9" s="391" t="inlineStr">
        <is>
          <t>Y Nghê</t>
        </is>
      </c>
      <c r="C9" s="392" t="n">
        <v>1986</v>
      </c>
      <c r="D9" s="393" t="inlineStr">
        <is>
          <t>Nữ</t>
        </is>
      </c>
      <c r="E9" s="394" t="inlineStr">
        <is>
          <t>Xê Đăng</t>
        </is>
      </c>
      <c r="F9" s="395">
        <f>IF(YEAR(TODAY())-C9&lt;=30,"X","")</f>
        <v/>
      </c>
      <c r="G9" s="395">
        <f>IF(AND(F9="X",E9&lt;&gt;"Kinh"),"X","")</f>
        <v/>
      </c>
      <c r="H9" s="396" t="n">
        <v>3</v>
      </c>
      <c r="I9" s="397" t="inlineStr">
        <is>
          <t>Người dân tộc thiểu số</t>
        </is>
      </c>
      <c r="J9" s="395">
        <f>VLOOKUP(I9,IDs!$B$37:$C$46,2,0)</f>
        <v/>
      </c>
      <c r="K9" s="397" t="inlineStr">
        <is>
          <t>Kon Đào, ĐăkTô, Kon Tum</t>
        </is>
      </c>
      <c r="L9" s="398" t="inlineStr">
        <is>
          <t>Đăk Tô, Kon Tum</t>
        </is>
      </c>
      <c r="M9" s="398" t="inlineStr">
        <is>
          <t>Đăk Nu, Ngọk Tụ, Đăk Tô, Kon Tum</t>
        </is>
      </c>
      <c r="N9" s="399">
        <f>IF(C9="","",IF(YEAR(TODAY())-C9&lt;15,"Không đủ tuổi theo học",IF(AND(D9="Nam",YEAR(TODAY())-C9&gt;60),"Quá tuổi theo học",IF(AND(D9="Nữ",YEAR(TODAY())-C9&gt;55),"Quá tuổi theo học","Đảm bảo"))))</f>
        <v/>
      </c>
      <c r="O9" s="399">
        <f>IF(B9="","",IF(OR(LEFT(B9,1)="Y",LEFT(B9,1)="A"),"",IF(I9&lt;&gt;"Đối tượng lao động nông thôn khác","Cần hồ sơ chứng minh nhóm đối tượng","")))</f>
        <v/>
      </c>
      <c r="P9" s="400" t="inlineStr">
        <is>
          <t>x</t>
        </is>
      </c>
      <c r="Q9" s="399">
        <f>IF(B9&lt;&gt;"",AND(D9="Nữ",I9="Người dân tộc thiểu số"),"")</f>
        <v/>
      </c>
      <c r="R9" s="399">
        <f>IF(B9&lt;&gt;"",I9="Người dân tộc thiểu số","")</f>
        <v/>
      </c>
      <c r="S9" s="401">
        <f>IF(B9&lt;&gt;"",MENU!$E$5-'Thông tin hoc sinh'!C9&lt;31,"")</f>
        <v/>
      </c>
      <c r="T9" s="399">
        <f>IF(B9&lt;&gt;"",AND(R9,S9),"")</f>
        <v/>
      </c>
      <c r="U9" s="399">
        <f>IF(B9&lt;&gt;"",(H9&gt;=9),"")</f>
        <v/>
      </c>
      <c r="V9" s="399">
        <f>IF(B9&lt;&gt;"",AND(U9,D9="Nữ"),"")</f>
        <v/>
      </c>
      <c r="W9" s="399">
        <f>IF(B9&lt;&gt;"",AND(U9,R9),"")</f>
        <v/>
      </c>
      <c r="X9" s="399">
        <f>IF(B9&lt;&gt;"",MENU!$E$5-'Thông tin hoc sinh'!C9&lt;26,"")</f>
        <v/>
      </c>
      <c r="Y9" s="399">
        <f>IF(B9&lt;&gt;"",AND(X9,D9="Nữ"),"")</f>
        <v/>
      </c>
      <c r="Z9" s="399">
        <f>IF(B9&lt;&gt;"",AND(X9,R9),"")</f>
        <v/>
      </c>
      <c r="AA9" s="399">
        <f>IF(B9&lt;&gt;"",AND(MENU!$E$5-'Thông tin hoc sinh'!C9&gt;=26,MENU!$E$5-'Thông tin hoc sinh'!C9&lt;=45),"")</f>
        <v/>
      </c>
      <c r="AB9" s="399">
        <f>IF(B9&lt;&gt;"",AND(AA9,D9="Nữ"),"")</f>
        <v/>
      </c>
      <c r="AC9" s="399">
        <f>IF(B9&lt;&gt;"",AND(AA9,R9),"")</f>
        <v/>
      </c>
      <c r="AD9" s="399">
        <f>IF(B9&lt;&gt;"",MENU!$E$5-'Thông tin hoc sinh'!C9&gt;45,"")</f>
        <v/>
      </c>
      <c r="AE9" s="399">
        <f>IF(B9&lt;&gt;"",AND(AD9,D9="Nữ"),"")</f>
        <v/>
      </c>
      <c r="AF9" s="399">
        <f>IF(B9&lt;&gt;"",AND(AD9,R9),"")</f>
        <v/>
      </c>
      <c r="AG9" s="399">
        <f>IF(P9&lt;&gt;"",J9,"")</f>
        <v/>
      </c>
      <c r="AH9" s="399">
        <f>IF(B9&lt;&gt;"",AND(P9="x",D9="Nữ"),"")</f>
        <v/>
      </c>
      <c r="AI9" s="399">
        <f>IF(B9&lt;&gt;"",AND(P9="x",D9="Nữ",I9="Người dân tộc thiểu số"),"")</f>
        <v/>
      </c>
      <c r="AJ9" s="399">
        <f>IF(B9&lt;&gt;"",AND(P9="x",I9="Người dân tộc thiểu số"),"")</f>
        <v/>
      </c>
      <c r="AK9" s="401">
        <f>IF(B9&lt;&gt;"",AND(P9="x",MENU!$E$5-'Thông tin hoc sinh'!C9&lt;31),"")</f>
        <v/>
      </c>
      <c r="AL9" s="399">
        <f>IF(B9&lt;&gt;"",AND(P9="x",R9,S9),"")</f>
        <v/>
      </c>
      <c r="AM9" s="399">
        <f>IF(B9&lt;&gt;"",AND(H9&gt;=9,P9="x"),"")</f>
        <v/>
      </c>
      <c r="AN9" s="399">
        <f>IF(B9&lt;&gt;"",AND(P9="x",X9,D9="Nữ"),"")</f>
        <v/>
      </c>
      <c r="AO9" s="399">
        <f>IF(B9&lt;&gt;"",AND(P9="x",U9,R9),"")</f>
        <v/>
      </c>
      <c r="AP9" s="399">
        <f>IF(B9&lt;&gt;"",AND(P9="x",MENU!$E$5-'Thông tin hoc sinh'!C9&lt;26),"")</f>
        <v/>
      </c>
      <c r="AQ9" s="399">
        <f>IF(B9&lt;&gt;"",AND(P9="x",X9,D9="Nữ"),"")</f>
        <v/>
      </c>
      <c r="AR9" s="399">
        <f>IF(B9&lt;&gt;"",AND(P9="x",X9,R9),"")</f>
        <v/>
      </c>
      <c r="AS9" s="399">
        <f>IF(B9&lt;&gt;"",AND(P9="x",MENU!$E$5-'Thông tin hoc sinh'!C9&gt;=26,MENU!$E$5-'Thông tin hoc sinh'!C9&lt;=45),"")</f>
        <v/>
      </c>
      <c r="AT9" s="399">
        <f>IF(B9&lt;&gt;"",AND(P9="x",AA9,D9="Nữ"),"")</f>
        <v/>
      </c>
      <c r="AU9" s="399">
        <f>IF(B9&lt;&gt;"",AND(P9="x",AA9,R9),"")</f>
        <v/>
      </c>
      <c r="AV9" s="399">
        <f>IF(B9&lt;&gt;"",AND(P9="x",MENU!$E$5-'Thông tin hoc sinh'!C9&gt;45),"")</f>
        <v/>
      </c>
      <c r="AW9" s="399">
        <f>IF(B9&lt;&gt;"",AND(P9="x",AD9,D9="Nữ"),"")</f>
        <v/>
      </c>
      <c r="AX9" s="399">
        <f>IF(B9&lt;&gt;"",AND(P9="x",AD9,R9),"")</f>
        <v/>
      </c>
    </row>
    <row r="10" ht="18.75" customFormat="1" customHeight="1" s="389">
      <c r="A10" s="390" t="inlineStr">
        <is>
          <t>08</t>
        </is>
      </c>
      <c r="B10" s="391" t="inlineStr">
        <is>
          <t>Y Hen</t>
        </is>
      </c>
      <c r="C10" s="392" t="n">
        <v>1992</v>
      </c>
      <c r="D10" s="393" t="inlineStr">
        <is>
          <t>Nữ</t>
        </is>
      </c>
      <c r="E10" s="394" t="inlineStr">
        <is>
          <t>Xê Đăng</t>
        </is>
      </c>
      <c r="F10" s="395">
        <f>IF(YEAR(TODAY())-C10&lt;=30,"X","")</f>
        <v/>
      </c>
      <c r="G10" s="395">
        <f>IF(AND(F10="X",E10&lt;&gt;"Kinh"),"X","")</f>
        <v/>
      </c>
      <c r="H10" s="396" t="n">
        <v>9</v>
      </c>
      <c r="I10" s="397" t="inlineStr">
        <is>
          <t>Người dân tộc thiểu số</t>
        </is>
      </c>
      <c r="J10" s="395">
        <f>VLOOKUP(I10,IDs!$B$37:$C$46,2,0)</f>
        <v/>
      </c>
      <c r="K10" s="397" t="inlineStr">
        <is>
          <t>Kon Đào, ĐăkTô, Kon Tum</t>
        </is>
      </c>
      <c r="L10" s="398" t="inlineStr">
        <is>
          <t>Đăk Tô, Kon Tum</t>
        </is>
      </c>
      <c r="M10" s="398" t="inlineStr">
        <is>
          <t>Đăk Nu, Ngọk Tụ, Đăk Tô, Kon Tum</t>
        </is>
      </c>
      <c r="N10" s="399">
        <f>IF(C10="","",IF(YEAR(TODAY())-C10&lt;15,"Không đủ tuổi theo học",IF(AND(D10="Nam",YEAR(TODAY())-C10&gt;60),"Quá tuổi theo học",IF(AND(D10="Nữ",YEAR(TODAY())-C10&gt;55),"Quá tuổi theo học","Đảm bảo"))))</f>
        <v/>
      </c>
      <c r="O10" s="399">
        <f>IF(B10="","",IF(OR(LEFT(B10,1)="Y",LEFT(B10,1)="A"),"",IF(I10&lt;&gt;"Đối tượng lao động nông thôn khác","Cần hồ sơ chứng minh nhóm đối tượng","")))</f>
        <v/>
      </c>
      <c r="P10" s="400" t="inlineStr">
        <is>
          <t>x</t>
        </is>
      </c>
      <c r="Q10" s="399">
        <f>IF(B10&lt;&gt;"",AND(D10="Nữ",I10="Người dân tộc thiểu số"),"")</f>
        <v/>
      </c>
      <c r="R10" s="399">
        <f>IF(B10&lt;&gt;"",I10="Người dân tộc thiểu số","")</f>
        <v/>
      </c>
      <c r="S10" s="401">
        <f>IF(B10&lt;&gt;"",MENU!$E$5-'Thông tin hoc sinh'!C10&lt;31,"")</f>
        <v/>
      </c>
      <c r="T10" s="399">
        <f>IF(B10&lt;&gt;"",AND(R10,S10),"")</f>
        <v/>
      </c>
      <c r="U10" s="399">
        <f>IF(B10&lt;&gt;"",(H10&gt;=9),"")</f>
        <v/>
      </c>
      <c r="V10" s="399">
        <f>IF(B10&lt;&gt;"",AND(U10,D10="Nữ"),"")</f>
        <v/>
      </c>
      <c r="W10" s="399">
        <f>IF(B10&lt;&gt;"",AND(U10,R10),"")</f>
        <v/>
      </c>
      <c r="X10" s="399">
        <f>IF(B10&lt;&gt;"",MENU!$E$5-'Thông tin hoc sinh'!C10&lt;26,"")</f>
        <v/>
      </c>
      <c r="Y10" s="399">
        <f>IF(B10&lt;&gt;"",AND(X10,D10="Nữ"),"")</f>
        <v/>
      </c>
      <c r="Z10" s="399">
        <f>IF(B10&lt;&gt;"",AND(X10,R10),"")</f>
        <v/>
      </c>
      <c r="AA10" s="399">
        <f>IF(B10&lt;&gt;"",AND(MENU!$E$5-'Thông tin hoc sinh'!C10&gt;=26,MENU!$E$5-'Thông tin hoc sinh'!C10&lt;=45),"")</f>
        <v/>
      </c>
      <c r="AB10" s="399">
        <f>IF(B10&lt;&gt;"",AND(AA10,D10="Nữ"),"")</f>
        <v/>
      </c>
      <c r="AC10" s="399">
        <f>IF(B10&lt;&gt;"",AND(AA10,R10),"")</f>
        <v/>
      </c>
      <c r="AD10" s="399">
        <f>IF(B10&lt;&gt;"",MENU!$E$5-'Thông tin hoc sinh'!C10&gt;45,"")</f>
        <v/>
      </c>
      <c r="AE10" s="399">
        <f>IF(B10&lt;&gt;"",AND(AD10,D10="Nữ"),"")</f>
        <v/>
      </c>
      <c r="AF10" s="399">
        <f>IF(B10&lt;&gt;"",AND(AD10,R10),"")</f>
        <v/>
      </c>
      <c r="AG10" s="399">
        <f>IF(P10&lt;&gt;"",J10,"")</f>
        <v/>
      </c>
      <c r="AH10" s="399">
        <f>IF(B10&lt;&gt;"",AND(P10="x",D10="Nữ"),"")</f>
        <v/>
      </c>
      <c r="AI10" s="399">
        <f>IF(B10&lt;&gt;"",AND(P10="x",D10="Nữ",I10="Người dân tộc thiểu số"),"")</f>
        <v/>
      </c>
      <c r="AJ10" s="399">
        <f>IF(B10&lt;&gt;"",AND(P10="x",I10="Người dân tộc thiểu số"),"")</f>
        <v/>
      </c>
      <c r="AK10" s="401">
        <f>IF(B10&lt;&gt;"",AND(P10="x",MENU!$E$5-'Thông tin hoc sinh'!C10&lt;31),"")</f>
        <v/>
      </c>
      <c r="AL10" s="399">
        <f>IF(B10&lt;&gt;"",AND(P10="x",R10,S10),"")</f>
        <v/>
      </c>
      <c r="AM10" s="399">
        <f>IF(B10&lt;&gt;"",AND(H10&gt;=9,P10="x"),"")</f>
        <v/>
      </c>
      <c r="AN10" s="399">
        <f>IF(B10&lt;&gt;"",AND(P10="x",X10,D10="Nữ"),"")</f>
        <v/>
      </c>
      <c r="AO10" s="399">
        <f>IF(B10&lt;&gt;"",AND(P10="x",U10,R10),"")</f>
        <v/>
      </c>
      <c r="AP10" s="399">
        <f>IF(B10&lt;&gt;"",AND(P10="x",MENU!$E$5-'Thông tin hoc sinh'!C10&lt;26),"")</f>
        <v/>
      </c>
      <c r="AQ10" s="399">
        <f>IF(B10&lt;&gt;"",AND(P10="x",X10,D10="Nữ"),"")</f>
        <v/>
      </c>
      <c r="AR10" s="399">
        <f>IF(B10&lt;&gt;"",AND(P10="x",X10,R10),"")</f>
        <v/>
      </c>
      <c r="AS10" s="399">
        <f>IF(B10&lt;&gt;"",AND(P10="x",MENU!$E$5-'Thông tin hoc sinh'!C10&gt;=26,MENU!$E$5-'Thông tin hoc sinh'!C10&lt;=45),"")</f>
        <v/>
      </c>
      <c r="AT10" s="399">
        <f>IF(B10&lt;&gt;"",AND(P10="x",AA10,D10="Nữ"),"")</f>
        <v/>
      </c>
      <c r="AU10" s="399">
        <f>IF(B10&lt;&gt;"",AND(P10="x",AA10,R10),"")</f>
        <v/>
      </c>
      <c r="AV10" s="399">
        <f>IF(B10&lt;&gt;"",AND(P10="x",MENU!$E$5-'Thông tin hoc sinh'!C10&gt;45),"")</f>
        <v/>
      </c>
      <c r="AW10" s="399">
        <f>IF(B10&lt;&gt;"",AND(P10="x",AD10,D10="Nữ"),"")</f>
        <v/>
      </c>
      <c r="AX10" s="399">
        <f>IF(B10&lt;&gt;"",AND(P10="x",AD10,R10),"")</f>
        <v/>
      </c>
    </row>
    <row r="11" ht="18.75" customFormat="1" customHeight="1" s="389">
      <c r="A11" s="390" t="inlineStr">
        <is>
          <t>09</t>
        </is>
      </c>
      <c r="B11" s="391" t="inlineStr">
        <is>
          <t>Y Dang</t>
        </is>
      </c>
      <c r="C11" s="392" t="n">
        <v>1998</v>
      </c>
      <c r="D11" s="393" t="inlineStr">
        <is>
          <t>Nữ</t>
        </is>
      </c>
      <c r="E11" s="394" t="inlineStr">
        <is>
          <t>Xê Đăng</t>
        </is>
      </c>
      <c r="F11" s="395">
        <f>IF(YEAR(TODAY())-C11&lt;=30,"X","")</f>
        <v/>
      </c>
      <c r="G11" s="395">
        <f>IF(AND(F11="X",E11&lt;&gt;"Kinh"),"X","")</f>
        <v/>
      </c>
      <c r="H11" s="396" t="n">
        <v>10</v>
      </c>
      <c r="I11" s="397" t="inlineStr">
        <is>
          <t>Người dân tộc thiểu số</t>
        </is>
      </c>
      <c r="J11" s="395">
        <f>VLOOKUP(I11,IDs!$B$37:$C$46,2,0)</f>
        <v/>
      </c>
      <c r="K11" s="397" t="inlineStr">
        <is>
          <t>Kon Đào, ĐăkTô, Kon Tum</t>
        </is>
      </c>
      <c r="L11" s="398" t="inlineStr">
        <is>
          <t>Đăk Tô, Kon Tum</t>
        </is>
      </c>
      <c r="M11" s="398" t="inlineStr">
        <is>
          <t>Đăk Nu, Ngọk Tụ, Đăk Tô, Kon Tum</t>
        </is>
      </c>
      <c r="N11" s="399">
        <f>IF(C11="","",IF(YEAR(TODAY())-C11&lt;15,"Không đủ tuổi theo học",IF(AND(D11="Nam",YEAR(TODAY())-C11&gt;60),"Quá tuổi theo học",IF(AND(D11="Nữ",YEAR(TODAY())-C11&gt;55),"Quá tuổi theo học","Đảm bảo"))))</f>
        <v/>
      </c>
      <c r="O11" s="399">
        <f>IF(B11="","",IF(OR(LEFT(B11,1)="Y",LEFT(B11,1)="A"),"",IF(I11&lt;&gt;"Đối tượng lao động nông thôn khác","Cần hồ sơ chứng minh nhóm đối tượng","")))</f>
        <v/>
      </c>
      <c r="P11" s="400" t="inlineStr">
        <is>
          <t>x</t>
        </is>
      </c>
      <c r="Q11" s="399">
        <f>IF(B11&lt;&gt;"",AND(D11="Nữ",I11="Người dân tộc thiểu số"),"")</f>
        <v/>
      </c>
      <c r="R11" s="399">
        <f>IF(B11&lt;&gt;"",I11="Người dân tộc thiểu số","")</f>
        <v/>
      </c>
      <c r="S11" s="401">
        <f>IF(B11&lt;&gt;"",MENU!$E$5-'Thông tin hoc sinh'!C11&lt;31,"")</f>
        <v/>
      </c>
      <c r="T11" s="399">
        <f>IF(B11&lt;&gt;"",AND(R11,S11),"")</f>
        <v/>
      </c>
      <c r="U11" s="399">
        <f>IF(B11&lt;&gt;"",(H11&gt;=9),"")</f>
        <v/>
      </c>
      <c r="V11" s="399">
        <f>IF(B11&lt;&gt;"",AND(U11,D11="Nữ"),"")</f>
        <v/>
      </c>
      <c r="W11" s="399">
        <f>IF(B11&lt;&gt;"",AND(U11,R11),"")</f>
        <v/>
      </c>
      <c r="X11" s="399">
        <f>IF(B11&lt;&gt;"",MENU!$E$5-'Thông tin hoc sinh'!C11&lt;26,"")</f>
        <v/>
      </c>
      <c r="Y11" s="399">
        <f>IF(B11&lt;&gt;"",AND(X11,D11="Nữ"),"")</f>
        <v/>
      </c>
      <c r="Z11" s="399">
        <f>IF(B11&lt;&gt;"",AND(X11,R11),"")</f>
        <v/>
      </c>
      <c r="AA11" s="399">
        <f>IF(B11&lt;&gt;"",AND(MENU!$E$5-'Thông tin hoc sinh'!C11&gt;=26,MENU!$E$5-'Thông tin hoc sinh'!C11&lt;=45),"")</f>
        <v/>
      </c>
      <c r="AB11" s="399">
        <f>IF(B11&lt;&gt;"",AND(AA11,D11="Nữ"),"")</f>
        <v/>
      </c>
      <c r="AC11" s="399">
        <f>IF(B11&lt;&gt;"",AND(AA11,R11),"")</f>
        <v/>
      </c>
      <c r="AD11" s="399">
        <f>IF(B11&lt;&gt;"",MENU!$E$5-'Thông tin hoc sinh'!C11&gt;45,"")</f>
        <v/>
      </c>
      <c r="AE11" s="399">
        <f>IF(B11&lt;&gt;"",AND(AD11,D11="Nữ"),"")</f>
        <v/>
      </c>
      <c r="AF11" s="399">
        <f>IF(B11&lt;&gt;"",AND(AD11,R11),"")</f>
        <v/>
      </c>
      <c r="AG11" s="399">
        <f>IF(P11&lt;&gt;"",J11,"")</f>
        <v/>
      </c>
      <c r="AH11" s="399">
        <f>IF(B11&lt;&gt;"",AND(P11="x",D11="Nữ"),"")</f>
        <v/>
      </c>
      <c r="AI11" s="399">
        <f>IF(B11&lt;&gt;"",AND(P11="x",D11="Nữ",I11="Người dân tộc thiểu số"),"")</f>
        <v/>
      </c>
      <c r="AJ11" s="399">
        <f>IF(B11&lt;&gt;"",AND(P11="x",I11="Người dân tộc thiểu số"),"")</f>
        <v/>
      </c>
      <c r="AK11" s="401">
        <f>IF(B11&lt;&gt;"",AND(P11="x",MENU!$E$5-'Thông tin hoc sinh'!C11&lt;31),"")</f>
        <v/>
      </c>
      <c r="AL11" s="399">
        <f>IF(B11&lt;&gt;"",AND(P11="x",R11,S11),"")</f>
        <v/>
      </c>
      <c r="AM11" s="399">
        <f>IF(B11&lt;&gt;"",AND(H11&gt;=9,P11="x"),"")</f>
        <v/>
      </c>
      <c r="AN11" s="399">
        <f>IF(B11&lt;&gt;"",AND(P11="x",X11,D11="Nữ"),"")</f>
        <v/>
      </c>
      <c r="AO11" s="399">
        <f>IF(B11&lt;&gt;"",AND(P11="x",U11,R11),"")</f>
        <v/>
      </c>
      <c r="AP11" s="399">
        <f>IF(B11&lt;&gt;"",AND(P11="x",MENU!$E$5-'Thông tin hoc sinh'!C11&lt;26),"")</f>
        <v/>
      </c>
      <c r="AQ11" s="399">
        <f>IF(B11&lt;&gt;"",AND(P11="x",X11,D11="Nữ"),"")</f>
        <v/>
      </c>
      <c r="AR11" s="399">
        <f>IF(B11&lt;&gt;"",AND(P11="x",X11,R11),"")</f>
        <v/>
      </c>
      <c r="AS11" s="399">
        <f>IF(B11&lt;&gt;"",AND(P11="x",MENU!$E$5-'Thông tin hoc sinh'!C11&gt;=26,MENU!$E$5-'Thông tin hoc sinh'!C11&lt;=45),"")</f>
        <v/>
      </c>
      <c r="AT11" s="399">
        <f>IF(B11&lt;&gt;"",AND(P11="x",AA11,D11="Nữ"),"")</f>
        <v/>
      </c>
      <c r="AU11" s="399">
        <f>IF(B11&lt;&gt;"",AND(P11="x",AA11,R11),"")</f>
        <v/>
      </c>
      <c r="AV11" s="399">
        <f>IF(B11&lt;&gt;"",AND(P11="x",MENU!$E$5-'Thông tin hoc sinh'!C11&gt;45),"")</f>
        <v/>
      </c>
      <c r="AW11" s="399">
        <f>IF(B11&lt;&gt;"",AND(P11="x",AD11,D11="Nữ"),"")</f>
        <v/>
      </c>
      <c r="AX11" s="399">
        <f>IF(B11&lt;&gt;"",AND(P11="x",AD11,R11),"")</f>
        <v/>
      </c>
    </row>
    <row r="12" ht="18.75" customFormat="1" customHeight="1" s="389">
      <c r="A12" s="390" t="inlineStr">
        <is>
          <t>10</t>
        </is>
      </c>
      <c r="B12" s="391" t="inlineStr">
        <is>
          <t>Y Thoan</t>
        </is>
      </c>
      <c r="C12" s="392" t="n">
        <v>1998</v>
      </c>
      <c r="D12" s="393" t="inlineStr">
        <is>
          <t>Nữ</t>
        </is>
      </c>
      <c r="E12" s="394" t="inlineStr">
        <is>
          <t>Xê Đăng</t>
        </is>
      </c>
      <c r="F12" s="395">
        <f>IF(YEAR(TODAY())-C12&lt;=30,"X","")</f>
        <v/>
      </c>
      <c r="G12" s="395">
        <f>IF(AND(F12="X",E12&lt;&gt;"Kinh"),"X","")</f>
        <v/>
      </c>
      <c r="H12" s="396" t="n">
        <v>9</v>
      </c>
      <c r="I12" s="397" t="inlineStr">
        <is>
          <t>Người dân tộc thiểu số</t>
        </is>
      </c>
      <c r="J12" s="395">
        <f>VLOOKUP(I12,IDs!$B$37:$C$46,2,0)</f>
        <v/>
      </c>
      <c r="K12" s="397" t="inlineStr">
        <is>
          <t>Kon Đào, ĐăkTô, Kon Tum</t>
        </is>
      </c>
      <c r="L12" s="398" t="inlineStr">
        <is>
          <t>Đăk Tô, Kon Tum</t>
        </is>
      </c>
      <c r="M12" s="398" t="inlineStr">
        <is>
          <t>Đăk Nu, Ngọk Tụ, Đăk Tô, Kon Tum</t>
        </is>
      </c>
      <c r="N12" s="399">
        <f>IF(C12="","",IF(YEAR(TODAY())-C12&lt;15,"Không đủ tuổi theo học",IF(AND(D12="Nam",YEAR(TODAY())-C12&gt;60),"Quá tuổi theo học",IF(AND(D12="Nữ",YEAR(TODAY())-C12&gt;55),"Quá tuổi theo học","Đảm bảo"))))</f>
        <v/>
      </c>
      <c r="O12" s="399">
        <f>IF(B12="","",IF(OR(LEFT(B12,1)="Y",LEFT(B12,1)="A"),"",IF(I12&lt;&gt;"Đối tượng lao động nông thôn khác","Cần hồ sơ chứng minh nhóm đối tượng","")))</f>
        <v/>
      </c>
      <c r="P12" s="400" t="inlineStr">
        <is>
          <t>x</t>
        </is>
      </c>
      <c r="Q12" s="399">
        <f>IF(B12&lt;&gt;"",AND(D12="Nữ",I12="Người dân tộc thiểu số"),"")</f>
        <v/>
      </c>
      <c r="R12" s="399">
        <f>IF(B12&lt;&gt;"",I12="Người dân tộc thiểu số","")</f>
        <v/>
      </c>
      <c r="S12" s="401">
        <f>IF(B12&lt;&gt;"",MENU!$E$5-'Thông tin hoc sinh'!C12&lt;31,"")</f>
        <v/>
      </c>
      <c r="T12" s="399">
        <f>IF(B12&lt;&gt;"",AND(R12,S12),"")</f>
        <v/>
      </c>
      <c r="U12" s="399">
        <f>IF(B12&lt;&gt;"",(H12&gt;=9),"")</f>
        <v/>
      </c>
      <c r="V12" s="399">
        <f>IF(B12&lt;&gt;"",AND(U12,D12="Nữ"),"")</f>
        <v/>
      </c>
      <c r="W12" s="399">
        <f>IF(B12&lt;&gt;"",AND(U12,R12),"")</f>
        <v/>
      </c>
      <c r="X12" s="399">
        <f>IF(B12&lt;&gt;"",MENU!$E$5-'Thông tin hoc sinh'!C12&lt;26,"")</f>
        <v/>
      </c>
      <c r="Y12" s="399">
        <f>IF(B12&lt;&gt;"",AND(X12,D12="Nữ"),"")</f>
        <v/>
      </c>
      <c r="Z12" s="399">
        <f>IF(B12&lt;&gt;"",AND(X12,R12),"")</f>
        <v/>
      </c>
      <c r="AA12" s="399">
        <f>IF(B12&lt;&gt;"",AND(MENU!$E$5-'Thông tin hoc sinh'!C12&gt;=26,MENU!$E$5-'Thông tin hoc sinh'!C12&lt;=45),"")</f>
        <v/>
      </c>
      <c r="AB12" s="399">
        <f>IF(B12&lt;&gt;"",AND(AA12,D12="Nữ"),"")</f>
        <v/>
      </c>
      <c r="AC12" s="399">
        <f>IF(B12&lt;&gt;"",AND(AA12,R12),"")</f>
        <v/>
      </c>
      <c r="AD12" s="399">
        <f>IF(B12&lt;&gt;"",MENU!$E$5-'Thông tin hoc sinh'!C12&gt;45,"")</f>
        <v/>
      </c>
      <c r="AE12" s="399">
        <f>IF(B12&lt;&gt;"",AND(AD12,D12="Nữ"),"")</f>
        <v/>
      </c>
      <c r="AF12" s="399">
        <f>IF(B12&lt;&gt;"",AND(AD12,R12),"")</f>
        <v/>
      </c>
      <c r="AG12" s="399">
        <f>IF(P12&lt;&gt;"",J12,"")</f>
        <v/>
      </c>
      <c r="AH12" s="399">
        <f>IF(B12&lt;&gt;"",AND(P12="x",D12="Nữ"),"")</f>
        <v/>
      </c>
      <c r="AI12" s="399">
        <f>IF(B12&lt;&gt;"",AND(P12="x",D12="Nữ",I12="Người dân tộc thiểu số"),"")</f>
        <v/>
      </c>
      <c r="AJ12" s="399">
        <f>IF(B12&lt;&gt;"",AND(P12="x",I12="Người dân tộc thiểu số"),"")</f>
        <v/>
      </c>
      <c r="AK12" s="401">
        <f>IF(B12&lt;&gt;"",AND(P12="x",MENU!$E$5-'Thông tin hoc sinh'!C12&lt;31),"")</f>
        <v/>
      </c>
      <c r="AL12" s="399">
        <f>IF(B12&lt;&gt;"",AND(P12="x",R12,S12),"")</f>
        <v/>
      </c>
      <c r="AM12" s="399">
        <f>IF(B12&lt;&gt;"",AND(H12&gt;=9,P12="x"),"")</f>
        <v/>
      </c>
      <c r="AN12" s="399">
        <f>IF(B12&lt;&gt;"",AND(P12="x",X12,D12="Nữ"),"")</f>
        <v/>
      </c>
      <c r="AO12" s="399">
        <f>IF(B12&lt;&gt;"",AND(P12="x",U12,R12),"")</f>
        <v/>
      </c>
      <c r="AP12" s="399">
        <f>IF(B12&lt;&gt;"",AND(P12="x",MENU!$E$5-'Thông tin hoc sinh'!C12&lt;26),"")</f>
        <v/>
      </c>
      <c r="AQ12" s="399">
        <f>IF(B12&lt;&gt;"",AND(P12="x",X12,D12="Nữ"),"")</f>
        <v/>
      </c>
      <c r="AR12" s="399">
        <f>IF(B12&lt;&gt;"",AND(P12="x",X12,R12),"")</f>
        <v/>
      </c>
      <c r="AS12" s="399">
        <f>IF(B12&lt;&gt;"",AND(P12="x",MENU!$E$5-'Thông tin hoc sinh'!C12&gt;=26,MENU!$E$5-'Thông tin hoc sinh'!C12&lt;=45),"")</f>
        <v/>
      </c>
      <c r="AT12" s="399">
        <f>IF(B12&lt;&gt;"",AND(P12="x",AA12,D12="Nữ"),"")</f>
        <v/>
      </c>
      <c r="AU12" s="399">
        <f>IF(B12&lt;&gt;"",AND(P12="x",AA12,R12),"")</f>
        <v/>
      </c>
      <c r="AV12" s="399">
        <f>IF(B12&lt;&gt;"",AND(P12="x",MENU!$E$5-'Thông tin hoc sinh'!C12&gt;45),"")</f>
        <v/>
      </c>
      <c r="AW12" s="399">
        <f>IF(B12&lt;&gt;"",AND(P12="x",AD12,D12="Nữ"),"")</f>
        <v/>
      </c>
      <c r="AX12" s="399">
        <f>IF(B12&lt;&gt;"",AND(P12="x",AD12,R12),"")</f>
        <v/>
      </c>
    </row>
    <row r="13" ht="18.75" customFormat="1" customHeight="1" s="389">
      <c r="A13" s="390" t="inlineStr">
        <is>
          <t>11</t>
        </is>
      </c>
      <c r="B13" s="391" t="inlineStr">
        <is>
          <t>Y Điệp</t>
        </is>
      </c>
      <c r="C13" s="392" t="n">
        <v>1988</v>
      </c>
      <c r="D13" s="393" t="inlineStr">
        <is>
          <t>Nữ</t>
        </is>
      </c>
      <c r="E13" s="394" t="inlineStr">
        <is>
          <t>Xê Đăng</t>
        </is>
      </c>
      <c r="F13" s="395">
        <f>IF(YEAR(TODAY())-C13&lt;=30,"X","")</f>
        <v/>
      </c>
      <c r="G13" s="395">
        <f>IF(AND(F13="X",E13&lt;&gt;"Kinh"),"X","")</f>
        <v/>
      </c>
      <c r="H13" s="396" t="n">
        <v>4</v>
      </c>
      <c r="I13" s="397" t="inlineStr">
        <is>
          <t>Người dân tộc thiểu số</t>
        </is>
      </c>
      <c r="J13" s="395">
        <f>VLOOKUP(I13,IDs!$B$37:$C$46,2,0)</f>
        <v/>
      </c>
      <c r="K13" s="397" t="inlineStr">
        <is>
          <t>Kon Đào, ĐăkTô, Kon Tum</t>
        </is>
      </c>
      <c r="L13" s="398" t="inlineStr">
        <is>
          <t>Đăk Tô, Kon Tum</t>
        </is>
      </c>
      <c r="M13" s="398" t="inlineStr">
        <is>
          <t>Đăk Nu, Ngọk Tụ, Đăk Tô, Kon Tum</t>
        </is>
      </c>
      <c r="N13" s="399">
        <f>IF(C13="","",IF(YEAR(TODAY())-C13&lt;15,"Không đủ tuổi theo học",IF(AND(D13="Nam",YEAR(TODAY())-C13&gt;60),"Quá tuổi theo học",IF(AND(D13="Nữ",YEAR(TODAY())-C13&gt;55),"Quá tuổi theo học","Đảm bảo"))))</f>
        <v/>
      </c>
      <c r="O13" s="399">
        <f>IF(B13="","",IF(OR(LEFT(B13,1)="Y",LEFT(B13,1)="A"),"",IF(I13&lt;&gt;"Đối tượng lao động nông thôn khác","Cần hồ sơ chứng minh nhóm đối tượng","")))</f>
        <v/>
      </c>
      <c r="P13" s="400" t="inlineStr">
        <is>
          <t>x</t>
        </is>
      </c>
      <c r="Q13" s="399">
        <f>IF(B13&lt;&gt;"",AND(D13="Nữ",I13="Người dân tộc thiểu số"),"")</f>
        <v/>
      </c>
      <c r="R13" s="399">
        <f>IF(B13&lt;&gt;"",I13="Người dân tộc thiểu số","")</f>
        <v/>
      </c>
      <c r="S13" s="401">
        <f>IF(B13&lt;&gt;"",MENU!$E$5-'Thông tin hoc sinh'!C13&lt;31,"")</f>
        <v/>
      </c>
      <c r="T13" s="399">
        <f>IF(B13&lt;&gt;"",AND(R13,S13),"")</f>
        <v/>
      </c>
      <c r="U13" s="399">
        <f>IF(B13&lt;&gt;"",(H13&gt;=9),"")</f>
        <v/>
      </c>
      <c r="V13" s="399">
        <f>IF(B13&lt;&gt;"",AND(U13,D13="Nữ"),"")</f>
        <v/>
      </c>
      <c r="W13" s="399">
        <f>IF(B13&lt;&gt;"",AND(U13,R13),"")</f>
        <v/>
      </c>
      <c r="X13" s="399">
        <f>IF(B13&lt;&gt;"",MENU!$E$5-'Thông tin hoc sinh'!C13&lt;26,"")</f>
        <v/>
      </c>
      <c r="Y13" s="399">
        <f>IF(B13&lt;&gt;"",AND(X13,D13="Nữ"),"")</f>
        <v/>
      </c>
      <c r="Z13" s="399">
        <f>IF(B13&lt;&gt;"",AND(X13,R13),"")</f>
        <v/>
      </c>
      <c r="AA13" s="399">
        <f>IF(B13&lt;&gt;"",AND(MENU!$E$5-'Thông tin hoc sinh'!C13&gt;=26,MENU!$E$5-'Thông tin hoc sinh'!C13&lt;=45),"")</f>
        <v/>
      </c>
      <c r="AB13" s="399">
        <f>IF(B13&lt;&gt;"",AND(AA13,D13="Nữ"),"")</f>
        <v/>
      </c>
      <c r="AC13" s="399">
        <f>IF(B13&lt;&gt;"",AND(AA13,R13),"")</f>
        <v/>
      </c>
      <c r="AD13" s="399">
        <f>IF(B13&lt;&gt;"",MENU!$E$5-'Thông tin hoc sinh'!C13&gt;45,"")</f>
        <v/>
      </c>
      <c r="AE13" s="399">
        <f>IF(B13&lt;&gt;"",AND(AD13,D13="Nữ"),"")</f>
        <v/>
      </c>
      <c r="AF13" s="399">
        <f>IF(B13&lt;&gt;"",AND(AD13,R13),"")</f>
        <v/>
      </c>
      <c r="AG13" s="399">
        <f>IF(P13&lt;&gt;"",J13,"")</f>
        <v/>
      </c>
      <c r="AH13" s="399">
        <f>IF(B13&lt;&gt;"",AND(P13="x",D13="Nữ"),"")</f>
        <v/>
      </c>
      <c r="AI13" s="399">
        <f>IF(B13&lt;&gt;"",AND(P13="x",D13="Nữ",I13="Người dân tộc thiểu số"),"")</f>
        <v/>
      </c>
      <c r="AJ13" s="399">
        <f>IF(B13&lt;&gt;"",AND(P13="x",I13="Người dân tộc thiểu số"),"")</f>
        <v/>
      </c>
      <c r="AK13" s="401">
        <f>IF(B13&lt;&gt;"",AND(P13="x",MENU!$E$5-'Thông tin hoc sinh'!C13&lt;31),"")</f>
        <v/>
      </c>
      <c r="AL13" s="399">
        <f>IF(B13&lt;&gt;"",AND(P13="x",R13,S13),"")</f>
        <v/>
      </c>
      <c r="AM13" s="399">
        <f>IF(B13&lt;&gt;"",AND(H13&gt;=9,P13="x"),"")</f>
        <v/>
      </c>
      <c r="AN13" s="399">
        <f>IF(B13&lt;&gt;"",AND(P13="x",X13,D13="Nữ"),"")</f>
        <v/>
      </c>
      <c r="AO13" s="399">
        <f>IF(B13&lt;&gt;"",AND(P13="x",U13,R13),"")</f>
        <v/>
      </c>
      <c r="AP13" s="399">
        <f>IF(B13&lt;&gt;"",AND(P13="x",MENU!$E$5-'Thông tin hoc sinh'!C13&lt;26),"")</f>
        <v/>
      </c>
      <c r="AQ13" s="399">
        <f>IF(B13&lt;&gt;"",AND(P13="x",X13,D13="Nữ"),"")</f>
        <v/>
      </c>
      <c r="AR13" s="399">
        <f>IF(B13&lt;&gt;"",AND(P13="x",X13,R13),"")</f>
        <v/>
      </c>
      <c r="AS13" s="399">
        <f>IF(B13&lt;&gt;"",AND(P13="x",MENU!$E$5-'Thông tin hoc sinh'!C13&gt;=26,MENU!$E$5-'Thông tin hoc sinh'!C13&lt;=45),"")</f>
        <v/>
      </c>
      <c r="AT13" s="399">
        <f>IF(B13&lt;&gt;"",AND(P13="x",AA13,D13="Nữ"),"")</f>
        <v/>
      </c>
      <c r="AU13" s="399">
        <f>IF(B13&lt;&gt;"",AND(P13="x",AA13,R13),"")</f>
        <v/>
      </c>
      <c r="AV13" s="399">
        <f>IF(B13&lt;&gt;"",AND(P13="x",MENU!$E$5-'Thông tin hoc sinh'!C13&gt;45),"")</f>
        <v/>
      </c>
      <c r="AW13" s="399">
        <f>IF(B13&lt;&gt;"",AND(P13="x",AD13,D13="Nữ"),"")</f>
        <v/>
      </c>
      <c r="AX13" s="399">
        <f>IF(B13&lt;&gt;"",AND(P13="x",AD13,R13),"")</f>
        <v/>
      </c>
    </row>
    <row r="14" ht="18.75" customFormat="1" customHeight="1" s="389">
      <c r="A14" s="390" t="inlineStr">
        <is>
          <t>12</t>
        </is>
      </c>
      <c r="B14" s="391" t="inlineStr">
        <is>
          <t>Y Đinh</t>
        </is>
      </c>
      <c r="C14" s="392" t="n">
        <v>1984</v>
      </c>
      <c r="D14" s="393" t="inlineStr">
        <is>
          <t>Nữ</t>
        </is>
      </c>
      <c r="E14" s="394" t="inlineStr">
        <is>
          <t>Xê Đăng</t>
        </is>
      </c>
      <c r="F14" s="395">
        <f>IF(YEAR(TODAY())-C14&lt;=30,"X","")</f>
        <v/>
      </c>
      <c r="G14" s="395">
        <f>IF(AND(F14="X",E14&lt;&gt;"Kinh"),"X","")</f>
        <v/>
      </c>
      <c r="H14" s="396" t="n">
        <v>2</v>
      </c>
      <c r="I14" s="397" t="inlineStr">
        <is>
          <t>Người dân tộc thiểu số</t>
        </is>
      </c>
      <c r="J14" s="395">
        <f>VLOOKUP(I14,IDs!$B$37:$C$46,2,0)</f>
        <v/>
      </c>
      <c r="K14" s="397" t="inlineStr">
        <is>
          <t>Kon Đào, ĐăkTô, Kon Tum</t>
        </is>
      </c>
      <c r="L14" s="398" t="inlineStr">
        <is>
          <t>Đăk Tô, Kon Tum</t>
        </is>
      </c>
      <c r="M14" s="398" t="inlineStr">
        <is>
          <t>Đăk Nu, Ngọk Tụ, Đăk Tô, Kon Tum</t>
        </is>
      </c>
      <c r="N14" s="399">
        <f>IF(C14="","",IF(YEAR(TODAY())-C14&lt;15,"Không đủ tuổi theo học",IF(AND(D14="Nam",YEAR(TODAY())-C14&gt;60),"Quá tuổi theo học",IF(AND(D14="Nữ",YEAR(TODAY())-C14&gt;55),"Quá tuổi theo học","Đảm bảo"))))</f>
        <v/>
      </c>
      <c r="O14" s="399">
        <f>IF(B14="","",IF(OR(LEFT(B14,1)="Y",LEFT(B14,1)="A"),"",IF(I14&lt;&gt;"Đối tượng lao động nông thôn khác","Cần hồ sơ chứng minh nhóm đối tượng","")))</f>
        <v/>
      </c>
      <c r="P14" s="400" t="inlineStr">
        <is>
          <t>x</t>
        </is>
      </c>
      <c r="Q14" s="399">
        <f>IF(B14&lt;&gt;"",AND(D14="Nữ",I14="Người dân tộc thiểu số"),"")</f>
        <v/>
      </c>
      <c r="R14" s="399">
        <f>IF(B14&lt;&gt;"",I14="Người dân tộc thiểu số","")</f>
        <v/>
      </c>
      <c r="S14" s="401">
        <f>IF(B14&lt;&gt;"",MENU!$E$5-'Thông tin hoc sinh'!C14&lt;31,"")</f>
        <v/>
      </c>
      <c r="T14" s="399">
        <f>IF(B14&lt;&gt;"",AND(R14,S14),"")</f>
        <v/>
      </c>
      <c r="U14" s="399">
        <f>IF(B14&lt;&gt;"",(H14&gt;=9),"")</f>
        <v/>
      </c>
      <c r="V14" s="399">
        <f>IF(B14&lt;&gt;"",AND(U14,D14="Nữ"),"")</f>
        <v/>
      </c>
      <c r="W14" s="399">
        <f>IF(B14&lt;&gt;"",AND(U14,R14),"")</f>
        <v/>
      </c>
      <c r="X14" s="399">
        <f>IF(B14&lt;&gt;"",MENU!$E$5-'Thông tin hoc sinh'!C14&lt;26,"")</f>
        <v/>
      </c>
      <c r="Y14" s="399">
        <f>IF(B14&lt;&gt;"",AND(X14,D14="Nữ"),"")</f>
        <v/>
      </c>
      <c r="Z14" s="399">
        <f>IF(B14&lt;&gt;"",AND(X14,R14),"")</f>
        <v/>
      </c>
      <c r="AA14" s="399">
        <f>IF(B14&lt;&gt;"",AND(MENU!$E$5-'Thông tin hoc sinh'!C14&gt;=26,MENU!$E$5-'Thông tin hoc sinh'!C14&lt;=45),"")</f>
        <v/>
      </c>
      <c r="AB14" s="399">
        <f>IF(B14&lt;&gt;"",AND(AA14,D14="Nữ"),"")</f>
        <v/>
      </c>
      <c r="AC14" s="399">
        <f>IF(B14&lt;&gt;"",AND(AA14,R14),"")</f>
        <v/>
      </c>
      <c r="AD14" s="399">
        <f>IF(B14&lt;&gt;"",MENU!$E$5-'Thông tin hoc sinh'!C14&gt;45,"")</f>
        <v/>
      </c>
      <c r="AE14" s="399">
        <f>IF(B14&lt;&gt;"",AND(AD14,D14="Nữ"),"")</f>
        <v/>
      </c>
      <c r="AF14" s="399">
        <f>IF(B14&lt;&gt;"",AND(AD14,R14),"")</f>
        <v/>
      </c>
      <c r="AG14" s="399">
        <f>IF(P14&lt;&gt;"",J14,"")</f>
        <v/>
      </c>
      <c r="AH14" s="399">
        <f>IF(B14&lt;&gt;"",AND(P14="x",D14="Nữ"),"")</f>
        <v/>
      </c>
      <c r="AI14" s="399">
        <f>IF(B14&lt;&gt;"",AND(P14="x",D14="Nữ",I14="Người dân tộc thiểu số"),"")</f>
        <v/>
      </c>
      <c r="AJ14" s="399">
        <f>IF(B14&lt;&gt;"",AND(P14="x",I14="Người dân tộc thiểu số"),"")</f>
        <v/>
      </c>
      <c r="AK14" s="401">
        <f>IF(B14&lt;&gt;"",AND(P14="x",MENU!$E$5-'Thông tin hoc sinh'!C14&lt;31),"")</f>
        <v/>
      </c>
      <c r="AL14" s="399">
        <f>IF(B14&lt;&gt;"",AND(P14="x",R14,S14),"")</f>
        <v/>
      </c>
      <c r="AM14" s="399">
        <f>IF(B14&lt;&gt;"",AND(H14&gt;=9,P14="x"),"")</f>
        <v/>
      </c>
      <c r="AN14" s="399">
        <f>IF(B14&lt;&gt;"",AND(P14="x",X14,D14="Nữ"),"")</f>
        <v/>
      </c>
      <c r="AO14" s="399">
        <f>IF(B14&lt;&gt;"",AND(P14="x",U14,R14),"")</f>
        <v/>
      </c>
      <c r="AP14" s="399">
        <f>IF(B14&lt;&gt;"",AND(P14="x",MENU!$E$5-'Thông tin hoc sinh'!C14&lt;26),"")</f>
        <v/>
      </c>
      <c r="AQ14" s="399">
        <f>IF(B14&lt;&gt;"",AND(P14="x",X14,D14="Nữ"),"")</f>
        <v/>
      </c>
      <c r="AR14" s="399">
        <f>IF(B14&lt;&gt;"",AND(P14="x",X14,R14),"")</f>
        <v/>
      </c>
      <c r="AS14" s="399">
        <f>IF(B14&lt;&gt;"",AND(P14="x",MENU!$E$5-'Thông tin hoc sinh'!C14&gt;=26,MENU!$E$5-'Thông tin hoc sinh'!C14&lt;=45),"")</f>
        <v/>
      </c>
      <c r="AT14" s="399">
        <f>IF(B14&lt;&gt;"",AND(P14="x",AA14,D14="Nữ"),"")</f>
        <v/>
      </c>
      <c r="AU14" s="399">
        <f>IF(B14&lt;&gt;"",AND(P14="x",AA14,R14),"")</f>
        <v/>
      </c>
      <c r="AV14" s="399">
        <f>IF(B14&lt;&gt;"",AND(P14="x",MENU!$E$5-'Thông tin hoc sinh'!C14&gt;45),"")</f>
        <v/>
      </c>
      <c r="AW14" s="399">
        <f>IF(B14&lt;&gt;"",AND(P14="x",AD14,D14="Nữ"),"")</f>
        <v/>
      </c>
      <c r="AX14" s="399">
        <f>IF(B14&lt;&gt;"",AND(P14="x",AD14,R14),"")</f>
        <v/>
      </c>
    </row>
    <row r="15" ht="18.75" customFormat="1" customHeight="1" s="389">
      <c r="A15" s="390" t="inlineStr">
        <is>
          <t>13</t>
        </is>
      </c>
      <c r="B15" s="391" t="inlineStr">
        <is>
          <t>Y Đất</t>
        </is>
      </c>
      <c r="C15" s="392" t="n">
        <v>1993</v>
      </c>
      <c r="D15" s="393" t="inlineStr">
        <is>
          <t>Nữ</t>
        </is>
      </c>
      <c r="E15" s="394" t="inlineStr">
        <is>
          <t>Xê Đăng</t>
        </is>
      </c>
      <c r="F15" s="395">
        <f>IF(YEAR(TODAY())-C15&lt;=30,"X","")</f>
        <v/>
      </c>
      <c r="G15" s="395">
        <f>IF(AND(F15="X",E15&lt;&gt;"Kinh"),"X","")</f>
        <v/>
      </c>
      <c r="H15" s="396" t="n">
        <v>4</v>
      </c>
      <c r="I15" s="397" t="inlineStr">
        <is>
          <t>Người dân tộc thiểu số</t>
        </is>
      </c>
      <c r="J15" s="395">
        <f>VLOOKUP(I15,IDs!$B$37:$C$46,2,0)</f>
        <v/>
      </c>
      <c r="K15" s="397" t="inlineStr">
        <is>
          <t>Kon Đào, ĐăkTô, Kon Tum</t>
        </is>
      </c>
      <c r="L15" s="398" t="inlineStr">
        <is>
          <t>Đăk Tô, Kon Tum</t>
        </is>
      </c>
      <c r="M15" s="398" t="inlineStr">
        <is>
          <t>Đăk Nu, Ngọk Tụ, Đăk Tô, Kon Tum</t>
        </is>
      </c>
      <c r="N15" s="399">
        <f>IF(C15="","",IF(YEAR(TODAY())-C15&lt;15,"Không đủ tuổi theo học",IF(AND(D15="Nam",YEAR(TODAY())-C15&gt;60),"Quá tuổi theo học",IF(AND(D15="Nữ",YEAR(TODAY())-C15&gt;55),"Quá tuổi theo học","Đảm bảo"))))</f>
        <v/>
      </c>
      <c r="O15" s="399">
        <f>IF(B15="","",IF(OR(LEFT(B15,1)="Y",LEFT(B15,1)="A"),"",IF(I15&lt;&gt;"Đối tượng lao động nông thôn khác","Cần hồ sơ chứng minh nhóm đối tượng","")))</f>
        <v/>
      </c>
      <c r="P15" s="400" t="inlineStr">
        <is>
          <t>x</t>
        </is>
      </c>
      <c r="Q15" s="399">
        <f>IF(B15&lt;&gt;"",AND(D15="Nữ",I15="Người dân tộc thiểu số"),"")</f>
        <v/>
      </c>
      <c r="R15" s="399">
        <f>IF(B15&lt;&gt;"",I15="Người dân tộc thiểu số","")</f>
        <v/>
      </c>
      <c r="S15" s="401">
        <f>IF(B15&lt;&gt;"",MENU!$E$5-'Thông tin hoc sinh'!C15&lt;31,"")</f>
        <v/>
      </c>
      <c r="T15" s="399">
        <f>IF(B15&lt;&gt;"",AND(R15,S15),"")</f>
        <v/>
      </c>
      <c r="U15" s="399">
        <f>IF(B15&lt;&gt;"",(H15&gt;=9),"")</f>
        <v/>
      </c>
      <c r="V15" s="399">
        <f>IF(B15&lt;&gt;"",AND(U15,D15="Nữ"),"")</f>
        <v/>
      </c>
      <c r="W15" s="399">
        <f>IF(B15&lt;&gt;"",AND(U15,R15),"")</f>
        <v/>
      </c>
      <c r="X15" s="399">
        <f>IF(B15&lt;&gt;"",MENU!$E$5-'Thông tin hoc sinh'!C15&lt;26,"")</f>
        <v/>
      </c>
      <c r="Y15" s="399">
        <f>IF(B15&lt;&gt;"",AND(X15,D15="Nữ"),"")</f>
        <v/>
      </c>
      <c r="Z15" s="399">
        <f>IF(B15&lt;&gt;"",AND(X15,R15),"")</f>
        <v/>
      </c>
      <c r="AA15" s="399">
        <f>IF(B15&lt;&gt;"",AND(MENU!$E$5-'Thông tin hoc sinh'!C15&gt;=26,MENU!$E$5-'Thông tin hoc sinh'!C15&lt;=45),"")</f>
        <v/>
      </c>
      <c r="AB15" s="399">
        <f>IF(B15&lt;&gt;"",AND(AA15,D15="Nữ"),"")</f>
        <v/>
      </c>
      <c r="AC15" s="399">
        <f>IF(B15&lt;&gt;"",AND(AA15,R15),"")</f>
        <v/>
      </c>
      <c r="AD15" s="399">
        <f>IF(B15&lt;&gt;"",MENU!$E$5-'Thông tin hoc sinh'!C15&gt;45,"")</f>
        <v/>
      </c>
      <c r="AE15" s="399">
        <f>IF(B15&lt;&gt;"",AND(AD15,D15="Nữ"),"")</f>
        <v/>
      </c>
      <c r="AF15" s="399">
        <f>IF(B15&lt;&gt;"",AND(AD15,R15),"")</f>
        <v/>
      </c>
      <c r="AG15" s="399">
        <f>IF(P15&lt;&gt;"",J15,"")</f>
        <v/>
      </c>
      <c r="AH15" s="399">
        <f>IF(B15&lt;&gt;"",AND(P15="x",D15="Nữ"),"")</f>
        <v/>
      </c>
      <c r="AI15" s="399">
        <f>IF(B15&lt;&gt;"",AND(P15="x",D15="Nữ",I15="Người dân tộc thiểu số"),"")</f>
        <v/>
      </c>
      <c r="AJ15" s="399">
        <f>IF(B15&lt;&gt;"",AND(P15="x",I15="Người dân tộc thiểu số"),"")</f>
        <v/>
      </c>
      <c r="AK15" s="401">
        <f>IF(B15&lt;&gt;"",AND(P15="x",MENU!$E$5-'Thông tin hoc sinh'!C15&lt;31),"")</f>
        <v/>
      </c>
      <c r="AL15" s="399">
        <f>IF(B15&lt;&gt;"",AND(P15="x",R15,S15),"")</f>
        <v/>
      </c>
      <c r="AM15" s="399">
        <f>IF(B15&lt;&gt;"",AND(H15&gt;=9,P15="x"),"")</f>
        <v/>
      </c>
      <c r="AN15" s="399">
        <f>IF(B15&lt;&gt;"",AND(P15="x",X15,D15="Nữ"),"")</f>
        <v/>
      </c>
      <c r="AO15" s="399">
        <f>IF(B15&lt;&gt;"",AND(P15="x",U15,R15),"")</f>
        <v/>
      </c>
      <c r="AP15" s="399">
        <f>IF(B15&lt;&gt;"",AND(P15="x",MENU!$E$5-'Thông tin hoc sinh'!C15&lt;26),"")</f>
        <v/>
      </c>
      <c r="AQ15" s="399">
        <f>IF(B15&lt;&gt;"",AND(P15="x",X15,D15="Nữ"),"")</f>
        <v/>
      </c>
      <c r="AR15" s="399">
        <f>IF(B15&lt;&gt;"",AND(P15="x",X15,R15),"")</f>
        <v/>
      </c>
      <c r="AS15" s="399">
        <f>IF(B15&lt;&gt;"",AND(P15="x",MENU!$E$5-'Thông tin hoc sinh'!C15&gt;=26,MENU!$E$5-'Thông tin hoc sinh'!C15&lt;=45),"")</f>
        <v/>
      </c>
      <c r="AT15" s="399">
        <f>IF(B15&lt;&gt;"",AND(P15="x",AA15,D15="Nữ"),"")</f>
        <v/>
      </c>
      <c r="AU15" s="399">
        <f>IF(B15&lt;&gt;"",AND(P15="x",AA15,R15),"")</f>
        <v/>
      </c>
      <c r="AV15" s="399">
        <f>IF(B15&lt;&gt;"",AND(P15="x",MENU!$E$5-'Thông tin hoc sinh'!C15&gt;45),"")</f>
        <v/>
      </c>
      <c r="AW15" s="399">
        <f>IF(B15&lt;&gt;"",AND(P15="x",AD15,D15="Nữ"),"")</f>
        <v/>
      </c>
      <c r="AX15" s="399">
        <f>IF(B15&lt;&gt;"",AND(P15="x",AD15,R15),"")</f>
        <v/>
      </c>
    </row>
    <row r="16" ht="18.75" customFormat="1" customHeight="1" s="389">
      <c r="A16" s="390" t="inlineStr">
        <is>
          <t>14</t>
        </is>
      </c>
      <c r="B16" s="391" t="inlineStr">
        <is>
          <t>Y Hiền</t>
        </is>
      </c>
      <c r="C16" s="392" t="n">
        <v>1996</v>
      </c>
      <c r="D16" s="393" t="inlineStr">
        <is>
          <t>Nữ</t>
        </is>
      </c>
      <c r="E16" s="394" t="inlineStr">
        <is>
          <t>Xê Đăng</t>
        </is>
      </c>
      <c r="F16" s="395">
        <f>IF(YEAR(TODAY())-C16&lt;=30,"X","")</f>
        <v/>
      </c>
      <c r="G16" s="395">
        <f>IF(AND(F16="X",E16&lt;&gt;"Kinh"),"X","")</f>
        <v/>
      </c>
      <c r="H16" s="396" t="n">
        <v>9</v>
      </c>
      <c r="I16" s="397" t="inlineStr">
        <is>
          <t>Người dân tộc thiểu số</t>
        </is>
      </c>
      <c r="J16" s="395">
        <f>VLOOKUP(I16,IDs!$B$37:$C$46,2,0)</f>
        <v/>
      </c>
      <c r="K16" s="397" t="inlineStr">
        <is>
          <t>Kon Đào, ĐăkTô, Kon Tum</t>
        </is>
      </c>
      <c r="L16" s="398" t="inlineStr">
        <is>
          <t>Đăk Tô, Kon Tum</t>
        </is>
      </c>
      <c r="M16" s="398" t="inlineStr">
        <is>
          <t>Đăk Nu, Ngọk Tụ, Đăk Tô, Kon Tum</t>
        </is>
      </c>
      <c r="N16" s="399">
        <f>IF(C16="","",IF(YEAR(TODAY())-C16&lt;15,"Không đủ tuổi theo học",IF(AND(D16="Nam",YEAR(TODAY())-C16&gt;60),"Quá tuổi theo học",IF(AND(D16="Nữ",YEAR(TODAY())-C16&gt;55),"Quá tuổi theo học","Đảm bảo"))))</f>
        <v/>
      </c>
      <c r="O16" s="399">
        <f>IF(B16="","",IF(OR(LEFT(B16,1)="Y",LEFT(B16,1)="A"),"",IF(I16&lt;&gt;"Đối tượng lao động nông thôn khác","Cần hồ sơ chứng minh nhóm đối tượng","")))</f>
        <v/>
      </c>
      <c r="P16" s="400" t="inlineStr">
        <is>
          <t>x</t>
        </is>
      </c>
      <c r="Q16" s="399">
        <f>IF(B16&lt;&gt;"",AND(D16="Nữ",I16="Người dân tộc thiểu số"),"")</f>
        <v/>
      </c>
      <c r="R16" s="399">
        <f>IF(B16&lt;&gt;"",I16="Người dân tộc thiểu số","")</f>
        <v/>
      </c>
      <c r="S16" s="401">
        <f>IF(B16&lt;&gt;"",MENU!$E$5-'Thông tin hoc sinh'!C16&lt;31,"")</f>
        <v/>
      </c>
      <c r="T16" s="399">
        <f>IF(B16&lt;&gt;"",AND(R16,S16),"")</f>
        <v/>
      </c>
      <c r="U16" s="399">
        <f>IF(B16&lt;&gt;"",(H16&gt;=9),"")</f>
        <v/>
      </c>
      <c r="V16" s="399">
        <f>IF(B16&lt;&gt;"",AND(U16,D16="Nữ"),"")</f>
        <v/>
      </c>
      <c r="W16" s="399">
        <f>IF(B16&lt;&gt;"",AND(U16,R16),"")</f>
        <v/>
      </c>
      <c r="X16" s="399">
        <f>IF(B16&lt;&gt;"",MENU!$E$5-'Thông tin hoc sinh'!C16&lt;26,"")</f>
        <v/>
      </c>
      <c r="Y16" s="399">
        <f>IF(B16&lt;&gt;"",AND(X16,D16="Nữ"),"")</f>
        <v/>
      </c>
      <c r="Z16" s="399">
        <f>IF(B16&lt;&gt;"",AND(X16,R16),"")</f>
        <v/>
      </c>
      <c r="AA16" s="399">
        <f>IF(B16&lt;&gt;"",AND(MENU!$E$5-'Thông tin hoc sinh'!C16&gt;=26,MENU!$E$5-'Thông tin hoc sinh'!C16&lt;=45),"")</f>
        <v/>
      </c>
      <c r="AB16" s="399">
        <f>IF(B16&lt;&gt;"",AND(AA16,D16="Nữ"),"")</f>
        <v/>
      </c>
      <c r="AC16" s="399">
        <f>IF(B16&lt;&gt;"",AND(AA16,R16),"")</f>
        <v/>
      </c>
      <c r="AD16" s="399">
        <f>IF(B16&lt;&gt;"",MENU!$E$5-'Thông tin hoc sinh'!C16&gt;45,"")</f>
        <v/>
      </c>
      <c r="AE16" s="399">
        <f>IF(B16&lt;&gt;"",AND(AD16,D16="Nữ"),"")</f>
        <v/>
      </c>
      <c r="AF16" s="399">
        <f>IF(B16&lt;&gt;"",AND(AD16,R16),"")</f>
        <v/>
      </c>
      <c r="AG16" s="399">
        <f>IF(P16&lt;&gt;"",J16,"")</f>
        <v/>
      </c>
      <c r="AH16" s="399">
        <f>IF(B16&lt;&gt;"",AND(P16="x",D16="Nữ"),"")</f>
        <v/>
      </c>
      <c r="AI16" s="399">
        <f>IF(B16&lt;&gt;"",AND(P16="x",D16="Nữ",I16="Người dân tộc thiểu số"),"")</f>
        <v/>
      </c>
      <c r="AJ16" s="399">
        <f>IF(B16&lt;&gt;"",AND(P16="x",I16="Người dân tộc thiểu số"),"")</f>
        <v/>
      </c>
      <c r="AK16" s="401">
        <f>IF(B16&lt;&gt;"",AND(P16="x",MENU!$E$5-'Thông tin hoc sinh'!C16&lt;31),"")</f>
        <v/>
      </c>
      <c r="AL16" s="399">
        <f>IF(B16&lt;&gt;"",AND(P16="x",R16,S16),"")</f>
        <v/>
      </c>
      <c r="AM16" s="399">
        <f>IF(B16&lt;&gt;"",AND(H16&gt;=9,P16="x"),"")</f>
        <v/>
      </c>
      <c r="AN16" s="399">
        <f>IF(B16&lt;&gt;"",AND(P16="x",X16,D16="Nữ"),"")</f>
        <v/>
      </c>
      <c r="AO16" s="399">
        <f>IF(B16&lt;&gt;"",AND(P16="x",U16,R16),"")</f>
        <v/>
      </c>
      <c r="AP16" s="399">
        <f>IF(B16&lt;&gt;"",AND(P16="x",MENU!$E$5-'Thông tin hoc sinh'!C16&lt;26),"")</f>
        <v/>
      </c>
      <c r="AQ16" s="399">
        <f>IF(B16&lt;&gt;"",AND(P16="x",X16,D16="Nữ"),"")</f>
        <v/>
      </c>
      <c r="AR16" s="399">
        <f>IF(B16&lt;&gt;"",AND(P16="x",X16,R16),"")</f>
        <v/>
      </c>
      <c r="AS16" s="399">
        <f>IF(B16&lt;&gt;"",AND(P16="x",MENU!$E$5-'Thông tin hoc sinh'!C16&gt;=26,MENU!$E$5-'Thông tin hoc sinh'!C16&lt;=45),"")</f>
        <v/>
      </c>
      <c r="AT16" s="399">
        <f>IF(B16&lt;&gt;"",AND(P16="x",AA16,D16="Nữ"),"")</f>
        <v/>
      </c>
      <c r="AU16" s="399">
        <f>IF(B16&lt;&gt;"",AND(P16="x",AA16,R16),"")</f>
        <v/>
      </c>
      <c r="AV16" s="399">
        <f>IF(B16&lt;&gt;"",AND(P16="x",MENU!$E$5-'Thông tin hoc sinh'!C16&gt;45),"")</f>
        <v/>
      </c>
      <c r="AW16" s="399">
        <f>IF(B16&lt;&gt;"",AND(P16="x",AD16,D16="Nữ"),"")</f>
        <v/>
      </c>
      <c r="AX16" s="399">
        <f>IF(B16&lt;&gt;"",AND(P16="x",AD16,R16),"")</f>
        <v/>
      </c>
    </row>
    <row r="17" ht="18.75" customFormat="1" customHeight="1" s="389">
      <c r="A17" s="390" t="inlineStr">
        <is>
          <t>15</t>
        </is>
      </c>
      <c r="B17" s="391" t="inlineStr">
        <is>
          <t>Y Hdan</t>
        </is>
      </c>
      <c r="C17" s="392" t="n">
        <v>1972</v>
      </c>
      <c r="D17" s="393" t="inlineStr">
        <is>
          <t>Nữ</t>
        </is>
      </c>
      <c r="E17" s="394" t="inlineStr">
        <is>
          <t>Xê Đăng</t>
        </is>
      </c>
      <c r="F17" s="395">
        <f>IF(YEAR(TODAY())-C17&lt;=30,"X","")</f>
        <v/>
      </c>
      <c r="G17" s="395">
        <f>IF(AND(F17="X",E17&lt;&gt;"Kinh"),"X","")</f>
        <v/>
      </c>
      <c r="H17" s="396" t="n">
        <v>3</v>
      </c>
      <c r="I17" s="397" t="inlineStr">
        <is>
          <t>Người dân tộc thiểu số</t>
        </is>
      </c>
      <c r="J17" s="395">
        <f>VLOOKUP(I17,IDs!$B$37:$C$46,2,0)</f>
        <v/>
      </c>
      <c r="K17" s="397" t="inlineStr">
        <is>
          <t>Kon Đào, ĐăkTô, Kon Tum</t>
        </is>
      </c>
      <c r="L17" s="398" t="inlineStr">
        <is>
          <t>Đăk Tô, Kon Tum</t>
        </is>
      </c>
      <c r="M17" s="398" t="inlineStr">
        <is>
          <t>Đăk Nu, Ngọk Tụ, Đăk Tô, Kon Tum</t>
        </is>
      </c>
      <c r="N17" s="399">
        <f>IF(C17="","",IF(YEAR(TODAY())-C17&lt;15,"Không đủ tuổi theo học",IF(AND(D17="Nam",YEAR(TODAY())-C17&gt;60),"Quá tuổi theo học",IF(AND(D17="Nữ",YEAR(TODAY())-C17&gt;55),"Quá tuổi theo học","Đảm bảo"))))</f>
        <v/>
      </c>
      <c r="O17" s="399">
        <f>IF(B17="","",IF(OR(LEFT(B17,1)="Y",LEFT(B17,1)="A"),"",IF(I17&lt;&gt;"Đối tượng lao động nông thôn khác","Cần hồ sơ chứng minh nhóm đối tượng","")))</f>
        <v/>
      </c>
      <c r="P17" s="400" t="inlineStr">
        <is>
          <t>x</t>
        </is>
      </c>
      <c r="Q17" s="399">
        <f>IF(B17&lt;&gt;"",AND(D17="Nữ",I17="Người dân tộc thiểu số"),"")</f>
        <v/>
      </c>
      <c r="R17" s="399">
        <f>IF(B17&lt;&gt;"",I17="Người dân tộc thiểu số","")</f>
        <v/>
      </c>
      <c r="S17" s="401">
        <f>IF(B17&lt;&gt;"",MENU!$E$5-'Thông tin hoc sinh'!C17&lt;31,"")</f>
        <v/>
      </c>
      <c r="T17" s="399">
        <f>IF(B17&lt;&gt;"",AND(R17,S17),"")</f>
        <v/>
      </c>
      <c r="U17" s="399">
        <f>IF(B17&lt;&gt;"",(H17&gt;=9),"")</f>
        <v/>
      </c>
      <c r="V17" s="399">
        <f>IF(B17&lt;&gt;"",AND(U17,D17="Nữ"),"")</f>
        <v/>
      </c>
      <c r="W17" s="399">
        <f>IF(B17&lt;&gt;"",AND(U17,R17),"")</f>
        <v/>
      </c>
      <c r="X17" s="399">
        <f>IF(B17&lt;&gt;"",MENU!$E$5-'Thông tin hoc sinh'!C17&lt;26,"")</f>
        <v/>
      </c>
      <c r="Y17" s="399">
        <f>IF(B17&lt;&gt;"",AND(X17,D17="Nữ"),"")</f>
        <v/>
      </c>
      <c r="Z17" s="399">
        <f>IF(B17&lt;&gt;"",AND(X17,R17),"")</f>
        <v/>
      </c>
      <c r="AA17" s="399">
        <f>IF(B17&lt;&gt;"",AND(MENU!$E$5-'Thông tin hoc sinh'!C17&gt;=26,MENU!$E$5-'Thông tin hoc sinh'!C17&lt;=45),"")</f>
        <v/>
      </c>
      <c r="AB17" s="399">
        <f>IF(B17&lt;&gt;"",AND(AA17,D17="Nữ"),"")</f>
        <v/>
      </c>
      <c r="AC17" s="399">
        <f>IF(B17&lt;&gt;"",AND(AA17,R17),"")</f>
        <v/>
      </c>
      <c r="AD17" s="399">
        <f>IF(B17&lt;&gt;"",MENU!$E$5-'Thông tin hoc sinh'!C17&gt;45,"")</f>
        <v/>
      </c>
      <c r="AE17" s="399">
        <f>IF(B17&lt;&gt;"",AND(AD17,D17="Nữ"),"")</f>
        <v/>
      </c>
      <c r="AF17" s="399">
        <f>IF(B17&lt;&gt;"",AND(AD17,R17),"")</f>
        <v/>
      </c>
      <c r="AG17" s="399">
        <f>IF(P17&lt;&gt;"",J17,"")</f>
        <v/>
      </c>
      <c r="AH17" s="399">
        <f>IF(B17&lt;&gt;"",AND(P17="x",D17="Nữ"),"")</f>
        <v/>
      </c>
      <c r="AI17" s="399">
        <f>IF(B17&lt;&gt;"",AND(P17="x",D17="Nữ",I17="Người dân tộc thiểu số"),"")</f>
        <v/>
      </c>
      <c r="AJ17" s="399">
        <f>IF(B17&lt;&gt;"",AND(P17="x",I17="Người dân tộc thiểu số"),"")</f>
        <v/>
      </c>
      <c r="AK17" s="401">
        <f>IF(B17&lt;&gt;"",AND(P17="x",MENU!$E$5-'Thông tin hoc sinh'!C17&lt;31),"")</f>
        <v/>
      </c>
      <c r="AL17" s="399">
        <f>IF(B17&lt;&gt;"",AND(P17="x",R17,S17),"")</f>
        <v/>
      </c>
      <c r="AM17" s="399">
        <f>IF(B17&lt;&gt;"",AND(H17&gt;=9,P17="x"),"")</f>
        <v/>
      </c>
      <c r="AN17" s="399">
        <f>IF(B17&lt;&gt;"",AND(P17="x",X17,D17="Nữ"),"")</f>
        <v/>
      </c>
      <c r="AO17" s="399">
        <f>IF(B17&lt;&gt;"",AND(P17="x",U17,R17),"")</f>
        <v/>
      </c>
      <c r="AP17" s="399">
        <f>IF(B17&lt;&gt;"",AND(P17="x",MENU!$E$5-'Thông tin hoc sinh'!C17&lt;26),"")</f>
        <v/>
      </c>
      <c r="AQ17" s="399">
        <f>IF(B17&lt;&gt;"",AND(P17="x",X17,D17="Nữ"),"")</f>
        <v/>
      </c>
      <c r="AR17" s="399">
        <f>IF(B17&lt;&gt;"",AND(P17="x",X17,R17),"")</f>
        <v/>
      </c>
      <c r="AS17" s="399">
        <f>IF(B17&lt;&gt;"",AND(P17="x",MENU!$E$5-'Thông tin hoc sinh'!C17&gt;=26,MENU!$E$5-'Thông tin hoc sinh'!C17&lt;=45),"")</f>
        <v/>
      </c>
      <c r="AT17" s="399">
        <f>IF(B17&lt;&gt;"",AND(P17="x",AA17,D17="Nữ"),"")</f>
        <v/>
      </c>
      <c r="AU17" s="399">
        <f>IF(B17&lt;&gt;"",AND(P17="x",AA17,R17),"")</f>
        <v/>
      </c>
      <c r="AV17" s="399">
        <f>IF(B17&lt;&gt;"",AND(P17="x",MENU!$E$5-'Thông tin hoc sinh'!C17&gt;45),"")</f>
        <v/>
      </c>
      <c r="AW17" s="399">
        <f>IF(B17&lt;&gt;"",AND(P17="x",AD17,D17="Nữ"),"")</f>
        <v/>
      </c>
      <c r="AX17" s="399">
        <f>IF(B17&lt;&gt;"",AND(P17="x",AD17,R17),"")</f>
        <v/>
      </c>
    </row>
    <row r="18" ht="18.75" customFormat="1" customHeight="1" s="389">
      <c r="A18" s="390" t="inlineStr">
        <is>
          <t>16</t>
        </is>
      </c>
      <c r="B18" s="391" t="inlineStr">
        <is>
          <t>Y Thoai</t>
        </is>
      </c>
      <c r="C18" s="392" t="n">
        <v>1984</v>
      </c>
      <c r="D18" s="393" t="inlineStr">
        <is>
          <t>Nữ</t>
        </is>
      </c>
      <c r="E18" s="394" t="inlineStr">
        <is>
          <t>Xê Đăng</t>
        </is>
      </c>
      <c r="F18" s="395">
        <f>IF(YEAR(TODAY())-C18&lt;=30,"X","")</f>
        <v/>
      </c>
      <c r="G18" s="395">
        <f>IF(AND(F18="X",E18&lt;&gt;"Kinh"),"X","")</f>
        <v/>
      </c>
      <c r="H18" s="396" t="n">
        <v>8</v>
      </c>
      <c r="I18" s="397" t="inlineStr">
        <is>
          <t>Người dân tộc thiểu số</t>
        </is>
      </c>
      <c r="J18" s="395">
        <f>VLOOKUP(I18,IDs!$B$37:$C$46,2,0)</f>
        <v/>
      </c>
      <c r="K18" s="397" t="inlineStr">
        <is>
          <t>Kon Đào, ĐăkTô, Kon Tum</t>
        </is>
      </c>
      <c r="L18" s="398" t="inlineStr">
        <is>
          <t>Đăk Tô, Kon Tum</t>
        </is>
      </c>
      <c r="M18" s="398" t="inlineStr">
        <is>
          <t>Đăk Nu, Ngọk Tụ, Đăk Tô, Kon Tum</t>
        </is>
      </c>
      <c r="N18" s="399">
        <f>IF(C18="","",IF(YEAR(TODAY())-C18&lt;15,"Không đủ tuổi theo học",IF(AND(D18="Nam",YEAR(TODAY())-C18&gt;60),"Quá tuổi theo học",IF(AND(D18="Nữ",YEAR(TODAY())-C18&gt;55),"Quá tuổi theo học","Đảm bảo"))))</f>
        <v/>
      </c>
      <c r="O18" s="399">
        <f>IF(B18="","",IF(OR(LEFT(B18,1)="Y",LEFT(B18,1)="A"),"",IF(I18&lt;&gt;"Đối tượng lao động nông thôn khác","Cần hồ sơ chứng minh nhóm đối tượng","")))</f>
        <v/>
      </c>
      <c r="P18" s="400" t="inlineStr">
        <is>
          <t>x</t>
        </is>
      </c>
      <c r="Q18" s="399">
        <f>IF(B18&lt;&gt;"",AND(D18="Nữ",I18="Người dân tộc thiểu số"),"")</f>
        <v/>
      </c>
      <c r="R18" s="399">
        <f>IF(B18&lt;&gt;"",I18="Người dân tộc thiểu số","")</f>
        <v/>
      </c>
      <c r="S18" s="401">
        <f>IF(B18&lt;&gt;"",MENU!$E$5-'Thông tin hoc sinh'!C18&lt;31,"")</f>
        <v/>
      </c>
      <c r="T18" s="399">
        <f>IF(B18&lt;&gt;"",AND(R18,S18),"")</f>
        <v/>
      </c>
      <c r="U18" s="399">
        <f>IF(B18&lt;&gt;"",(H18&gt;=9),"")</f>
        <v/>
      </c>
      <c r="V18" s="399">
        <f>IF(B18&lt;&gt;"",AND(U18,D18="Nữ"),"")</f>
        <v/>
      </c>
      <c r="W18" s="399">
        <f>IF(B18&lt;&gt;"",AND(U18,R18),"")</f>
        <v/>
      </c>
      <c r="X18" s="399">
        <f>IF(B18&lt;&gt;"",MENU!$E$5-'Thông tin hoc sinh'!C18&lt;26,"")</f>
        <v/>
      </c>
      <c r="Y18" s="399">
        <f>IF(B18&lt;&gt;"",AND(X18,D18="Nữ"),"")</f>
        <v/>
      </c>
      <c r="Z18" s="399">
        <f>IF(B18&lt;&gt;"",AND(X18,R18),"")</f>
        <v/>
      </c>
      <c r="AA18" s="399">
        <f>IF(B18&lt;&gt;"",AND(MENU!$E$5-'Thông tin hoc sinh'!C18&gt;=26,MENU!$E$5-'Thông tin hoc sinh'!C18&lt;=45),"")</f>
        <v/>
      </c>
      <c r="AB18" s="399">
        <f>IF(B18&lt;&gt;"",AND(AA18,D18="Nữ"),"")</f>
        <v/>
      </c>
      <c r="AC18" s="399">
        <f>IF(B18&lt;&gt;"",AND(AA18,R18),"")</f>
        <v/>
      </c>
      <c r="AD18" s="399">
        <f>IF(B18&lt;&gt;"",MENU!$E$5-'Thông tin hoc sinh'!C18&gt;45,"")</f>
        <v/>
      </c>
      <c r="AE18" s="399">
        <f>IF(B18&lt;&gt;"",AND(AD18,D18="Nữ"),"")</f>
        <v/>
      </c>
      <c r="AF18" s="399">
        <f>IF(B18&lt;&gt;"",AND(AD18,R18),"")</f>
        <v/>
      </c>
      <c r="AG18" s="399">
        <f>IF(P18&lt;&gt;"",J18,"")</f>
        <v/>
      </c>
      <c r="AH18" s="399">
        <f>IF(B18&lt;&gt;"",AND(P18="x",D18="Nữ"),"")</f>
        <v/>
      </c>
      <c r="AI18" s="399">
        <f>IF(B18&lt;&gt;"",AND(P18="x",D18="Nữ",I18="Người dân tộc thiểu số"),"")</f>
        <v/>
      </c>
      <c r="AJ18" s="399">
        <f>IF(B18&lt;&gt;"",AND(P18="x",I18="Người dân tộc thiểu số"),"")</f>
        <v/>
      </c>
      <c r="AK18" s="401">
        <f>IF(B18&lt;&gt;"",AND(P18="x",MENU!$E$5-'Thông tin hoc sinh'!C18&lt;31),"")</f>
        <v/>
      </c>
      <c r="AL18" s="399">
        <f>IF(B18&lt;&gt;"",AND(P18="x",R18,S18),"")</f>
        <v/>
      </c>
      <c r="AM18" s="399">
        <f>IF(B18&lt;&gt;"",AND(H18&gt;=9,P18="x"),"")</f>
        <v/>
      </c>
      <c r="AN18" s="399">
        <f>IF(B18&lt;&gt;"",AND(P18="x",X18,D18="Nữ"),"")</f>
        <v/>
      </c>
      <c r="AO18" s="399">
        <f>IF(B18&lt;&gt;"",AND(P18="x",U18,R18),"")</f>
        <v/>
      </c>
      <c r="AP18" s="399">
        <f>IF(B18&lt;&gt;"",AND(P18="x",MENU!$E$5-'Thông tin hoc sinh'!C18&lt;26),"")</f>
        <v/>
      </c>
      <c r="AQ18" s="399">
        <f>IF(B18&lt;&gt;"",AND(P18="x",X18,D18="Nữ"),"")</f>
        <v/>
      </c>
      <c r="AR18" s="399">
        <f>IF(B18&lt;&gt;"",AND(P18="x",X18,R18),"")</f>
        <v/>
      </c>
      <c r="AS18" s="399">
        <f>IF(B18&lt;&gt;"",AND(P18="x",MENU!$E$5-'Thông tin hoc sinh'!C18&gt;=26,MENU!$E$5-'Thông tin hoc sinh'!C18&lt;=45),"")</f>
        <v/>
      </c>
      <c r="AT18" s="399">
        <f>IF(B18&lt;&gt;"",AND(P18="x",AA18,D18="Nữ"),"")</f>
        <v/>
      </c>
      <c r="AU18" s="399">
        <f>IF(B18&lt;&gt;"",AND(P18="x",AA18,R18),"")</f>
        <v/>
      </c>
      <c r="AV18" s="399">
        <f>IF(B18&lt;&gt;"",AND(P18="x",MENU!$E$5-'Thông tin hoc sinh'!C18&gt;45),"")</f>
        <v/>
      </c>
      <c r="AW18" s="399">
        <f>IF(B18&lt;&gt;"",AND(P18="x",AD18,D18="Nữ"),"")</f>
        <v/>
      </c>
      <c r="AX18" s="399">
        <f>IF(B18&lt;&gt;"",AND(P18="x",AD18,R18),"")</f>
        <v/>
      </c>
    </row>
    <row r="19" ht="18.75" customFormat="1" customHeight="1" s="389">
      <c r="A19" s="390" t="inlineStr">
        <is>
          <t>17</t>
        </is>
      </c>
      <c r="B19" s="391" t="inlineStr">
        <is>
          <t>Y Vang</t>
        </is>
      </c>
      <c r="C19" s="392" t="n">
        <v>1978</v>
      </c>
      <c r="D19" s="393" t="inlineStr">
        <is>
          <t>Nữ</t>
        </is>
      </c>
      <c r="E19" s="394" t="inlineStr">
        <is>
          <t>Xê Đăng</t>
        </is>
      </c>
      <c r="F19" s="395">
        <f>IF(YEAR(TODAY())-C19&lt;=30,"X","")</f>
        <v/>
      </c>
      <c r="G19" s="395">
        <f>IF(AND(F19="X",E19&lt;&gt;"Kinh"),"X","")</f>
        <v/>
      </c>
      <c r="H19" s="396" t="n">
        <v>2</v>
      </c>
      <c r="I19" s="397" t="inlineStr">
        <is>
          <t>Người dân tộc thiểu số</t>
        </is>
      </c>
      <c r="J19" s="395">
        <f>VLOOKUP(I19,IDs!$B$37:$C$46,2,0)</f>
        <v/>
      </c>
      <c r="K19" s="397" t="inlineStr">
        <is>
          <t>Kon Đào, ĐăkTô, Kon Tum</t>
        </is>
      </c>
      <c r="L19" s="398" t="inlineStr">
        <is>
          <t>Đăk Tô, Kon Tum</t>
        </is>
      </c>
      <c r="M19" s="398" t="inlineStr">
        <is>
          <t>Đăk Nu, Ngọk Tụ, Đăk Tô, Kon Tum</t>
        </is>
      </c>
      <c r="N19" s="399">
        <f>IF(C19="","",IF(YEAR(TODAY())-C19&lt;15,"Không đủ tuổi theo học",IF(AND(D19="Nam",YEAR(TODAY())-C19&gt;60),"Quá tuổi theo học",IF(AND(D19="Nữ",YEAR(TODAY())-C19&gt;55),"Quá tuổi theo học","Đảm bảo"))))</f>
        <v/>
      </c>
      <c r="O19" s="399">
        <f>IF(B19="","",IF(OR(LEFT(B19,1)="Y",LEFT(B19,1)="A"),"",IF(I19&lt;&gt;"Đối tượng lao động nông thôn khác","Cần hồ sơ chứng minh nhóm đối tượng","")))</f>
        <v/>
      </c>
      <c r="P19" s="400" t="inlineStr">
        <is>
          <t>x</t>
        </is>
      </c>
      <c r="Q19" s="399">
        <f>IF(B19&lt;&gt;"",AND(D19="Nữ",I19="Người dân tộc thiểu số"),"")</f>
        <v/>
      </c>
      <c r="R19" s="399">
        <f>IF(B19&lt;&gt;"",I19="Người dân tộc thiểu số","")</f>
        <v/>
      </c>
      <c r="S19" s="401">
        <f>IF(B19&lt;&gt;"",MENU!$E$5-'Thông tin hoc sinh'!C19&lt;31,"")</f>
        <v/>
      </c>
      <c r="T19" s="399">
        <f>IF(B19&lt;&gt;"",AND(R19,S19),"")</f>
        <v/>
      </c>
      <c r="U19" s="399">
        <f>IF(B19&lt;&gt;"",(H19&gt;=9),"")</f>
        <v/>
      </c>
      <c r="V19" s="399">
        <f>IF(B19&lt;&gt;"",AND(U19,D19="Nữ"),"")</f>
        <v/>
      </c>
      <c r="W19" s="399">
        <f>IF(B19&lt;&gt;"",AND(U19,R19),"")</f>
        <v/>
      </c>
      <c r="X19" s="399">
        <f>IF(B19&lt;&gt;"",MENU!$E$5-'Thông tin hoc sinh'!C19&lt;26,"")</f>
        <v/>
      </c>
      <c r="Y19" s="399">
        <f>IF(B19&lt;&gt;"",AND(X19,D19="Nữ"),"")</f>
        <v/>
      </c>
      <c r="Z19" s="399">
        <f>IF(B19&lt;&gt;"",AND(X19,R19),"")</f>
        <v/>
      </c>
      <c r="AA19" s="399">
        <f>IF(B19&lt;&gt;"",AND(MENU!$E$5-'Thông tin hoc sinh'!C19&gt;=26,MENU!$E$5-'Thông tin hoc sinh'!C19&lt;=45),"")</f>
        <v/>
      </c>
      <c r="AB19" s="399">
        <f>IF(B19&lt;&gt;"",AND(AA19,D19="Nữ"),"")</f>
        <v/>
      </c>
      <c r="AC19" s="399">
        <f>IF(B19&lt;&gt;"",AND(AA19,R19),"")</f>
        <v/>
      </c>
      <c r="AD19" s="399">
        <f>IF(B19&lt;&gt;"",MENU!$E$5-'Thông tin hoc sinh'!C19&gt;45,"")</f>
        <v/>
      </c>
      <c r="AE19" s="399">
        <f>IF(B19&lt;&gt;"",AND(AD19,D19="Nữ"),"")</f>
        <v/>
      </c>
      <c r="AF19" s="399">
        <f>IF(B19&lt;&gt;"",AND(AD19,R19),"")</f>
        <v/>
      </c>
      <c r="AG19" s="399">
        <f>IF(P19&lt;&gt;"",J19,"")</f>
        <v/>
      </c>
      <c r="AH19" s="399">
        <f>IF(B19&lt;&gt;"",AND(P19="x",D19="Nữ"),"")</f>
        <v/>
      </c>
      <c r="AI19" s="399">
        <f>IF(B19&lt;&gt;"",AND(P19="x",D19="Nữ",I19="Người dân tộc thiểu số"),"")</f>
        <v/>
      </c>
      <c r="AJ19" s="399">
        <f>IF(B19&lt;&gt;"",AND(P19="x",I19="Người dân tộc thiểu số"),"")</f>
        <v/>
      </c>
      <c r="AK19" s="401">
        <f>IF(B19&lt;&gt;"",AND(P19="x",MENU!$E$5-'Thông tin hoc sinh'!C19&lt;31),"")</f>
        <v/>
      </c>
      <c r="AL19" s="399">
        <f>IF(B19&lt;&gt;"",AND(P19="x",R19,S19),"")</f>
        <v/>
      </c>
      <c r="AM19" s="399">
        <f>IF(B19&lt;&gt;"",AND(H19&gt;=9,P19="x"),"")</f>
        <v/>
      </c>
      <c r="AN19" s="399">
        <f>IF(B19&lt;&gt;"",AND(P19="x",X19,D19="Nữ"),"")</f>
        <v/>
      </c>
      <c r="AO19" s="399">
        <f>IF(B19&lt;&gt;"",AND(P19="x",U19,R19),"")</f>
        <v/>
      </c>
      <c r="AP19" s="399">
        <f>IF(B19&lt;&gt;"",AND(P19="x",MENU!$E$5-'Thông tin hoc sinh'!C19&lt;26),"")</f>
        <v/>
      </c>
      <c r="AQ19" s="399">
        <f>IF(B19&lt;&gt;"",AND(P19="x",X19,D19="Nữ"),"")</f>
        <v/>
      </c>
      <c r="AR19" s="399">
        <f>IF(B19&lt;&gt;"",AND(P19="x",X19,R19),"")</f>
        <v/>
      </c>
      <c r="AS19" s="399">
        <f>IF(B19&lt;&gt;"",AND(P19="x",MENU!$E$5-'Thông tin hoc sinh'!C19&gt;=26,MENU!$E$5-'Thông tin hoc sinh'!C19&lt;=45),"")</f>
        <v/>
      </c>
      <c r="AT19" s="399">
        <f>IF(B19&lt;&gt;"",AND(P19="x",AA19,D19="Nữ"),"")</f>
        <v/>
      </c>
      <c r="AU19" s="399">
        <f>IF(B19&lt;&gt;"",AND(P19="x",AA19,R19),"")</f>
        <v/>
      </c>
      <c r="AV19" s="399">
        <f>IF(B19&lt;&gt;"",AND(P19="x",MENU!$E$5-'Thông tin hoc sinh'!C19&gt;45),"")</f>
        <v/>
      </c>
      <c r="AW19" s="399">
        <f>IF(B19&lt;&gt;"",AND(P19="x",AD19,D19="Nữ"),"")</f>
        <v/>
      </c>
      <c r="AX19" s="399">
        <f>IF(B19&lt;&gt;"",AND(P19="x",AD19,R19),"")</f>
        <v/>
      </c>
    </row>
    <row r="20" ht="18.75" customFormat="1" customHeight="1" s="389">
      <c r="A20" s="390" t="inlineStr">
        <is>
          <t>18</t>
        </is>
      </c>
      <c r="B20" s="391" t="inlineStr">
        <is>
          <t>A Đer</t>
        </is>
      </c>
      <c r="C20" s="392" t="n">
        <v>1991</v>
      </c>
      <c r="D20" s="393" t="inlineStr">
        <is>
          <t>Nam</t>
        </is>
      </c>
      <c r="E20" s="394" t="inlineStr">
        <is>
          <t>Xê Đăng</t>
        </is>
      </c>
      <c r="F20" s="395">
        <f>IF(YEAR(TODAY())-C20&lt;=30,"X","")</f>
        <v/>
      </c>
      <c r="G20" s="395">
        <f>IF(AND(F20="X",E20&lt;&gt;"Kinh"),"X","")</f>
        <v/>
      </c>
      <c r="H20" s="396" t="n">
        <v>7</v>
      </c>
      <c r="I20" s="397" t="inlineStr">
        <is>
          <t>Người dân tộc thiểu số</t>
        </is>
      </c>
      <c r="J20" s="395">
        <f>VLOOKUP(I20,IDs!$B$37:$C$46,2,0)</f>
        <v/>
      </c>
      <c r="K20" s="397" t="inlineStr">
        <is>
          <t>Kon Đào, ĐăkTô, Kon Tum</t>
        </is>
      </c>
      <c r="L20" s="398" t="inlineStr">
        <is>
          <t>Đăk Tô, Kon Tum</t>
        </is>
      </c>
      <c r="M20" s="398" t="inlineStr">
        <is>
          <t>Đăk Nu, Ngọk Tụ, Đăk Tô, Kon Tum</t>
        </is>
      </c>
      <c r="N20" s="399">
        <f>IF(C20="","",IF(YEAR(TODAY())-C20&lt;15,"Không đủ tuổi theo học",IF(AND(D20="Nam",YEAR(TODAY())-C20&gt;60),"Quá tuổi theo học",IF(AND(D20="Nữ",YEAR(TODAY())-C20&gt;55),"Quá tuổi theo học","Đảm bảo"))))</f>
        <v/>
      </c>
      <c r="O20" s="399">
        <f>IF(B20="","",IF(OR(LEFT(B20,1)="Y",LEFT(B20,1)="A"),"",IF(I20&lt;&gt;"Đối tượng lao động nông thôn khác","Cần hồ sơ chứng minh nhóm đối tượng","")))</f>
        <v/>
      </c>
      <c r="P20" s="400" t="inlineStr">
        <is>
          <t>x</t>
        </is>
      </c>
      <c r="Q20" s="399">
        <f>IF(B20&lt;&gt;"",AND(D20="Nữ",I20="Người dân tộc thiểu số"),"")</f>
        <v/>
      </c>
      <c r="R20" s="399">
        <f>IF(B20&lt;&gt;"",I20="Người dân tộc thiểu số","")</f>
        <v/>
      </c>
      <c r="S20" s="401">
        <f>IF(B20&lt;&gt;"",MENU!$E$5-'Thông tin hoc sinh'!C20&lt;31,"")</f>
        <v/>
      </c>
      <c r="T20" s="399">
        <f>IF(B20&lt;&gt;"",AND(R20,S20),"")</f>
        <v/>
      </c>
      <c r="U20" s="399">
        <f>IF(B20&lt;&gt;"",(H20&gt;=9),"")</f>
        <v/>
      </c>
      <c r="V20" s="399">
        <f>IF(B20&lt;&gt;"",AND(U20,D20="Nữ"),"")</f>
        <v/>
      </c>
      <c r="W20" s="399">
        <f>IF(B20&lt;&gt;"",AND(U20,R20),"")</f>
        <v/>
      </c>
      <c r="X20" s="399">
        <f>IF(B20&lt;&gt;"",MENU!$E$5-'Thông tin hoc sinh'!C20&lt;26,"")</f>
        <v/>
      </c>
      <c r="Y20" s="399">
        <f>IF(B20&lt;&gt;"",AND(X20,D20="Nữ"),"")</f>
        <v/>
      </c>
      <c r="Z20" s="399">
        <f>IF(B20&lt;&gt;"",AND(X20,R20),"")</f>
        <v/>
      </c>
      <c r="AA20" s="399">
        <f>IF(B20&lt;&gt;"",AND(MENU!$E$5-'Thông tin hoc sinh'!C20&gt;=26,MENU!$E$5-'Thông tin hoc sinh'!C20&lt;=45),"")</f>
        <v/>
      </c>
      <c r="AB20" s="399">
        <f>IF(B20&lt;&gt;"",AND(AA20,D20="Nữ"),"")</f>
        <v/>
      </c>
      <c r="AC20" s="399">
        <f>IF(B20&lt;&gt;"",AND(AA20,R20),"")</f>
        <v/>
      </c>
      <c r="AD20" s="399">
        <f>IF(B20&lt;&gt;"",MENU!$E$5-'Thông tin hoc sinh'!C20&gt;45,"")</f>
        <v/>
      </c>
      <c r="AE20" s="399">
        <f>IF(B20&lt;&gt;"",AND(AD20,D20="Nữ"),"")</f>
        <v/>
      </c>
      <c r="AF20" s="399">
        <f>IF(B20&lt;&gt;"",AND(AD20,R20),"")</f>
        <v/>
      </c>
      <c r="AG20" s="399">
        <f>IF(P20&lt;&gt;"",J20,"")</f>
        <v/>
      </c>
      <c r="AH20" s="399">
        <f>IF(B20&lt;&gt;"",AND(P20="x",D20="Nữ"),"")</f>
        <v/>
      </c>
      <c r="AI20" s="399">
        <f>IF(B20&lt;&gt;"",AND(P20="x",D20="Nữ",I20="Người dân tộc thiểu số"),"")</f>
        <v/>
      </c>
      <c r="AJ20" s="399">
        <f>IF(B20&lt;&gt;"",AND(P20="x",I20="Người dân tộc thiểu số"),"")</f>
        <v/>
      </c>
      <c r="AK20" s="401">
        <f>IF(B20&lt;&gt;"",AND(P20="x",MENU!$E$5-'Thông tin hoc sinh'!C20&lt;31),"")</f>
        <v/>
      </c>
      <c r="AL20" s="399">
        <f>IF(B20&lt;&gt;"",AND(P20="x",R20,S20),"")</f>
        <v/>
      </c>
      <c r="AM20" s="399">
        <f>IF(B20&lt;&gt;"",AND(H20&gt;=9,P20="x"),"")</f>
        <v/>
      </c>
      <c r="AN20" s="399">
        <f>IF(B20&lt;&gt;"",AND(P20="x",X20,D20="Nữ"),"")</f>
        <v/>
      </c>
      <c r="AO20" s="399">
        <f>IF(B20&lt;&gt;"",AND(P20="x",U20,R20),"")</f>
        <v/>
      </c>
      <c r="AP20" s="399">
        <f>IF(B20&lt;&gt;"",AND(P20="x",MENU!$E$5-'Thông tin hoc sinh'!C20&lt;26),"")</f>
        <v/>
      </c>
      <c r="AQ20" s="399">
        <f>IF(B20&lt;&gt;"",AND(P20="x",X20,D20="Nữ"),"")</f>
        <v/>
      </c>
      <c r="AR20" s="399">
        <f>IF(B20&lt;&gt;"",AND(P20="x",X20,R20),"")</f>
        <v/>
      </c>
      <c r="AS20" s="399">
        <f>IF(B20&lt;&gt;"",AND(P20="x",MENU!$E$5-'Thông tin hoc sinh'!C20&gt;=26,MENU!$E$5-'Thông tin hoc sinh'!C20&lt;=45),"")</f>
        <v/>
      </c>
      <c r="AT20" s="399">
        <f>IF(B20&lt;&gt;"",AND(P20="x",AA20,D20="Nữ"),"")</f>
        <v/>
      </c>
      <c r="AU20" s="399">
        <f>IF(B20&lt;&gt;"",AND(P20="x",AA20,R20),"")</f>
        <v/>
      </c>
      <c r="AV20" s="399">
        <f>IF(B20&lt;&gt;"",AND(P20="x",MENU!$E$5-'Thông tin hoc sinh'!C20&gt;45),"")</f>
        <v/>
      </c>
      <c r="AW20" s="399">
        <f>IF(B20&lt;&gt;"",AND(P20="x",AD20,D20="Nữ"),"")</f>
        <v/>
      </c>
      <c r="AX20" s="399">
        <f>IF(B20&lt;&gt;"",AND(P20="x",AD20,R20),"")</f>
        <v/>
      </c>
    </row>
    <row r="21" ht="18.75" customFormat="1" customHeight="1" s="389">
      <c r="A21" s="390" t="inlineStr">
        <is>
          <t>19</t>
        </is>
      </c>
      <c r="B21" s="391" t="inlineStr">
        <is>
          <t>A Van</t>
        </is>
      </c>
      <c r="C21" s="392" t="n">
        <v>1981</v>
      </c>
      <c r="D21" s="393" t="inlineStr">
        <is>
          <t>Nam</t>
        </is>
      </c>
      <c r="E21" s="394" t="inlineStr">
        <is>
          <t>Xê Đăng</t>
        </is>
      </c>
      <c r="F21" s="395">
        <f>IF(YEAR(TODAY())-C21&lt;=30,"X","")</f>
        <v/>
      </c>
      <c r="G21" s="395">
        <f>IF(AND(F21="X",E21&lt;&gt;"Kinh"),"X","")</f>
        <v/>
      </c>
      <c r="H21" s="396" t="n">
        <v>7</v>
      </c>
      <c r="I21" s="397" t="inlineStr">
        <is>
          <t>Người dân tộc thiểu số</t>
        </is>
      </c>
      <c r="J21" s="395">
        <f>VLOOKUP(I21,IDs!$B$37:$C$46,2,0)</f>
        <v/>
      </c>
      <c r="K21" s="397" t="inlineStr">
        <is>
          <t>Kon Đào, ĐăkTô, Kon Tum</t>
        </is>
      </c>
      <c r="L21" s="398" t="inlineStr">
        <is>
          <t>Tu Mơ Rông, Kon Tum</t>
        </is>
      </c>
      <c r="M21" s="398" t="inlineStr">
        <is>
          <t>Đăk Nu, Ngọk Tụ, Đăk Tô, Kon Tum</t>
        </is>
      </c>
      <c r="N21" s="399">
        <f>IF(C21="","",IF(YEAR(TODAY())-C21&lt;15,"Không đủ tuổi theo học",IF(AND(D21="Nam",YEAR(TODAY())-C21&gt;60),"Quá tuổi theo học",IF(AND(D21="Nữ",YEAR(TODAY())-C21&gt;55),"Quá tuổi theo học","Đảm bảo"))))</f>
        <v/>
      </c>
      <c r="O21" s="399">
        <f>IF(B21="","",IF(OR(LEFT(B21,1)="Y",LEFT(B21,1)="A"),"",IF(I21&lt;&gt;"Đối tượng lao động nông thôn khác","Cần hồ sơ chứng minh nhóm đối tượng","")))</f>
        <v/>
      </c>
      <c r="P21" s="400" t="inlineStr">
        <is>
          <t>x</t>
        </is>
      </c>
      <c r="Q21" s="399">
        <f>IF(B21&lt;&gt;"",AND(D21="Nữ",I21="Người dân tộc thiểu số"),"")</f>
        <v/>
      </c>
      <c r="R21" s="399">
        <f>IF(B21&lt;&gt;"",I21="Người dân tộc thiểu số","")</f>
        <v/>
      </c>
      <c r="S21" s="401">
        <f>IF(B21&lt;&gt;"",MENU!$E$5-'Thông tin hoc sinh'!C21&lt;31,"")</f>
        <v/>
      </c>
      <c r="T21" s="399">
        <f>IF(B21&lt;&gt;"",AND(R21,S21),"")</f>
        <v/>
      </c>
      <c r="U21" s="399">
        <f>IF(B21&lt;&gt;"",(H21&gt;=9),"")</f>
        <v/>
      </c>
      <c r="V21" s="399">
        <f>IF(B21&lt;&gt;"",AND(U21,D21="Nữ"),"")</f>
        <v/>
      </c>
      <c r="W21" s="399">
        <f>IF(B21&lt;&gt;"",AND(U21,R21),"")</f>
        <v/>
      </c>
      <c r="X21" s="399">
        <f>IF(B21&lt;&gt;"",MENU!$E$5-'Thông tin hoc sinh'!C21&lt;26,"")</f>
        <v/>
      </c>
      <c r="Y21" s="399">
        <f>IF(B21&lt;&gt;"",AND(X21,D21="Nữ"),"")</f>
        <v/>
      </c>
      <c r="Z21" s="399">
        <f>IF(B21&lt;&gt;"",AND(X21,R21),"")</f>
        <v/>
      </c>
      <c r="AA21" s="399">
        <f>IF(B21&lt;&gt;"",AND(MENU!$E$5-'Thông tin hoc sinh'!C21&gt;=26,MENU!$E$5-'Thông tin hoc sinh'!C21&lt;=45),"")</f>
        <v/>
      </c>
      <c r="AB21" s="399">
        <f>IF(B21&lt;&gt;"",AND(AA21,D21="Nữ"),"")</f>
        <v/>
      </c>
      <c r="AC21" s="399">
        <f>IF(B21&lt;&gt;"",AND(AA21,R21),"")</f>
        <v/>
      </c>
      <c r="AD21" s="399">
        <f>IF(B21&lt;&gt;"",MENU!$E$5-'Thông tin hoc sinh'!C21&gt;45,"")</f>
        <v/>
      </c>
      <c r="AE21" s="399">
        <f>IF(B21&lt;&gt;"",AND(AD21,D21="Nữ"),"")</f>
        <v/>
      </c>
      <c r="AF21" s="399">
        <f>IF(B21&lt;&gt;"",AND(AD21,R21),"")</f>
        <v/>
      </c>
      <c r="AG21" s="399">
        <f>IF(P21&lt;&gt;"",J21,"")</f>
        <v/>
      </c>
      <c r="AH21" s="399">
        <f>IF(B21&lt;&gt;"",AND(P21="x",D21="Nữ"),"")</f>
        <v/>
      </c>
      <c r="AI21" s="399">
        <f>IF(B21&lt;&gt;"",AND(P21="x",D21="Nữ",I21="Người dân tộc thiểu số"),"")</f>
        <v/>
      </c>
      <c r="AJ21" s="399">
        <f>IF(B21&lt;&gt;"",AND(P21="x",I21="Người dân tộc thiểu số"),"")</f>
        <v/>
      </c>
      <c r="AK21" s="401">
        <f>IF(B21&lt;&gt;"",AND(P21="x",MENU!$E$5-'Thông tin hoc sinh'!C21&lt;31),"")</f>
        <v/>
      </c>
      <c r="AL21" s="399">
        <f>IF(B21&lt;&gt;"",AND(P21="x",R21,S21),"")</f>
        <v/>
      </c>
      <c r="AM21" s="399">
        <f>IF(B21&lt;&gt;"",AND(H21&gt;=9,P21="x"),"")</f>
        <v/>
      </c>
      <c r="AN21" s="399">
        <f>IF(B21&lt;&gt;"",AND(P21="x",X21,D21="Nữ"),"")</f>
        <v/>
      </c>
      <c r="AO21" s="399">
        <f>IF(B21&lt;&gt;"",AND(P21="x",U21,R21),"")</f>
        <v/>
      </c>
      <c r="AP21" s="399">
        <f>IF(B21&lt;&gt;"",AND(P21="x",MENU!$E$5-'Thông tin hoc sinh'!C21&lt;26),"")</f>
        <v/>
      </c>
      <c r="AQ21" s="399">
        <f>IF(B21&lt;&gt;"",AND(P21="x",X21,D21="Nữ"),"")</f>
        <v/>
      </c>
      <c r="AR21" s="399">
        <f>IF(B21&lt;&gt;"",AND(P21="x",X21,R21),"")</f>
        <v/>
      </c>
      <c r="AS21" s="399">
        <f>IF(B21&lt;&gt;"",AND(P21="x",MENU!$E$5-'Thông tin hoc sinh'!C21&gt;=26,MENU!$E$5-'Thông tin hoc sinh'!C21&lt;=45),"")</f>
        <v/>
      </c>
      <c r="AT21" s="399">
        <f>IF(B21&lt;&gt;"",AND(P21="x",AA21,D21="Nữ"),"")</f>
        <v/>
      </c>
      <c r="AU21" s="399">
        <f>IF(B21&lt;&gt;"",AND(P21="x",AA21,R21),"")</f>
        <v/>
      </c>
      <c r="AV21" s="399">
        <f>IF(B21&lt;&gt;"",AND(P21="x",MENU!$E$5-'Thông tin hoc sinh'!C21&gt;45),"")</f>
        <v/>
      </c>
      <c r="AW21" s="399">
        <f>IF(B21&lt;&gt;"",AND(P21="x",AD21,D21="Nữ"),"")</f>
        <v/>
      </c>
      <c r="AX21" s="399">
        <f>IF(B21&lt;&gt;"",AND(P21="x",AD21,R21),"")</f>
        <v/>
      </c>
    </row>
    <row r="22" ht="18.75" customFormat="1" customHeight="1" s="389">
      <c r="A22" s="390" t="inlineStr">
        <is>
          <t>20</t>
        </is>
      </c>
      <c r="B22" s="391" t="inlineStr">
        <is>
          <t>A Hanh</t>
        </is>
      </c>
      <c r="C22" s="392" t="n">
        <v>1960</v>
      </c>
      <c r="D22" s="393" t="inlineStr">
        <is>
          <t>Nam</t>
        </is>
      </c>
      <c r="E22" s="394" t="inlineStr">
        <is>
          <t>Xê Đăng</t>
        </is>
      </c>
      <c r="F22" s="395">
        <f>IF(YEAR(TODAY())-C22&lt;=30,"X","")</f>
        <v/>
      </c>
      <c r="G22" s="395">
        <f>IF(AND(F22="X",E22&lt;&gt;"Kinh"),"X","")</f>
        <v/>
      </c>
      <c r="H22" s="396" t="n">
        <v>5</v>
      </c>
      <c r="I22" s="397" t="inlineStr">
        <is>
          <t>Người dân tộc thiểu số</t>
        </is>
      </c>
      <c r="J22" s="395">
        <f>VLOOKUP(I22,IDs!$B$37:$C$46,2,0)</f>
        <v/>
      </c>
      <c r="K22" s="397" t="inlineStr">
        <is>
          <t>Kon Đào, ĐăkTô, Kon Tum</t>
        </is>
      </c>
      <c r="L22" s="398" t="inlineStr">
        <is>
          <t>Đăk Tô, Kon Tum</t>
        </is>
      </c>
      <c r="M22" s="398" t="inlineStr">
        <is>
          <t>Đăk Nu, Ngọk Tụ, Đăk Tô, Kon Tum</t>
        </is>
      </c>
      <c r="N22" s="399">
        <f>IF(C22="","",IF(YEAR(TODAY())-C22&lt;15,"Không đủ tuổi theo học",IF(AND(D22="Nam",YEAR(TODAY())-C22&gt;60),"Quá tuổi theo học",IF(AND(D22="Nữ",YEAR(TODAY())-C22&gt;55),"Quá tuổi theo học","Đảm bảo"))))</f>
        <v/>
      </c>
      <c r="O22" s="399">
        <f>IF(B22="","",IF(OR(LEFT(B22,1)="Y",LEFT(B22,1)="A"),"",IF(I22&lt;&gt;"Đối tượng lao động nông thôn khác","Cần hồ sơ chứng minh nhóm đối tượng","")))</f>
        <v/>
      </c>
      <c r="P22" s="400" t="inlineStr">
        <is>
          <t>x</t>
        </is>
      </c>
      <c r="Q22" s="399">
        <f>IF(B22&lt;&gt;"",AND(D22="Nữ",I22="Người dân tộc thiểu số"),"")</f>
        <v/>
      </c>
      <c r="R22" s="399">
        <f>IF(B22&lt;&gt;"",I22="Người dân tộc thiểu số","")</f>
        <v/>
      </c>
      <c r="S22" s="401">
        <f>IF(B22&lt;&gt;"",MENU!$E$5-'Thông tin hoc sinh'!C22&lt;31,"")</f>
        <v/>
      </c>
      <c r="T22" s="399">
        <f>IF(B22&lt;&gt;"",AND(R22,S22),"")</f>
        <v/>
      </c>
      <c r="U22" s="399">
        <f>IF(B22&lt;&gt;"",(H22&gt;=9),"")</f>
        <v/>
      </c>
      <c r="V22" s="399">
        <f>IF(B22&lt;&gt;"",AND(U22,D22="Nữ"),"")</f>
        <v/>
      </c>
      <c r="W22" s="399">
        <f>IF(B22&lt;&gt;"",AND(U22,R22),"")</f>
        <v/>
      </c>
      <c r="X22" s="399">
        <f>IF(B22&lt;&gt;"",MENU!$E$5-'Thông tin hoc sinh'!C22&lt;26,"")</f>
        <v/>
      </c>
      <c r="Y22" s="399">
        <f>IF(B22&lt;&gt;"",AND(X22,D22="Nữ"),"")</f>
        <v/>
      </c>
      <c r="Z22" s="399">
        <f>IF(B22&lt;&gt;"",AND(X22,R22),"")</f>
        <v/>
      </c>
      <c r="AA22" s="399">
        <f>IF(B22&lt;&gt;"",AND(MENU!$E$5-'Thông tin hoc sinh'!C22&gt;=26,MENU!$E$5-'Thông tin hoc sinh'!C22&lt;=45),"")</f>
        <v/>
      </c>
      <c r="AB22" s="399">
        <f>IF(B22&lt;&gt;"",AND(AA22,D22="Nữ"),"")</f>
        <v/>
      </c>
      <c r="AC22" s="399">
        <f>IF(B22&lt;&gt;"",AND(AA22,R22),"")</f>
        <v/>
      </c>
      <c r="AD22" s="399">
        <f>IF(B22&lt;&gt;"",MENU!$E$5-'Thông tin hoc sinh'!C22&gt;45,"")</f>
        <v/>
      </c>
      <c r="AE22" s="399">
        <f>IF(B22&lt;&gt;"",AND(AD22,D22="Nữ"),"")</f>
        <v/>
      </c>
      <c r="AF22" s="399">
        <f>IF(B22&lt;&gt;"",AND(AD22,R22),"")</f>
        <v/>
      </c>
      <c r="AG22" s="399">
        <f>IF(P22&lt;&gt;"",J22,"")</f>
        <v/>
      </c>
      <c r="AH22" s="399">
        <f>IF(B22&lt;&gt;"",AND(P22="x",D22="Nữ"),"")</f>
        <v/>
      </c>
      <c r="AI22" s="399">
        <f>IF(B22&lt;&gt;"",AND(P22="x",D22="Nữ",I22="Người dân tộc thiểu số"),"")</f>
        <v/>
      </c>
      <c r="AJ22" s="399">
        <f>IF(B22&lt;&gt;"",AND(P22="x",I22="Người dân tộc thiểu số"),"")</f>
        <v/>
      </c>
      <c r="AK22" s="401">
        <f>IF(B22&lt;&gt;"",AND(P22="x",MENU!$E$5-'Thông tin hoc sinh'!C22&lt;31),"")</f>
        <v/>
      </c>
      <c r="AL22" s="399">
        <f>IF(B22&lt;&gt;"",AND(P22="x",R22,S22),"")</f>
        <v/>
      </c>
      <c r="AM22" s="399">
        <f>IF(B22&lt;&gt;"",AND(H22&gt;=9,P22="x"),"")</f>
        <v/>
      </c>
      <c r="AN22" s="399">
        <f>IF(B22&lt;&gt;"",AND(P22="x",X22,D22="Nữ"),"")</f>
        <v/>
      </c>
      <c r="AO22" s="399">
        <f>IF(B22&lt;&gt;"",AND(P22="x",U22,R22),"")</f>
        <v/>
      </c>
      <c r="AP22" s="399">
        <f>IF(B22&lt;&gt;"",AND(P22="x",MENU!$E$5-'Thông tin hoc sinh'!C22&lt;26),"")</f>
        <v/>
      </c>
      <c r="AQ22" s="399">
        <f>IF(B22&lt;&gt;"",AND(P22="x",X22,D22="Nữ"),"")</f>
        <v/>
      </c>
      <c r="AR22" s="399">
        <f>IF(B22&lt;&gt;"",AND(P22="x",X22,R22),"")</f>
        <v/>
      </c>
      <c r="AS22" s="399">
        <f>IF(B22&lt;&gt;"",AND(P22="x",MENU!$E$5-'Thông tin hoc sinh'!C22&gt;=26,MENU!$E$5-'Thông tin hoc sinh'!C22&lt;=45),"")</f>
        <v/>
      </c>
      <c r="AT22" s="399">
        <f>IF(B22&lt;&gt;"",AND(P22="x",AA22,D22="Nữ"),"")</f>
        <v/>
      </c>
      <c r="AU22" s="399">
        <f>IF(B22&lt;&gt;"",AND(P22="x",AA22,R22),"")</f>
        <v/>
      </c>
      <c r="AV22" s="399">
        <f>IF(B22&lt;&gt;"",AND(P22="x",MENU!$E$5-'Thông tin hoc sinh'!C22&gt;45),"")</f>
        <v/>
      </c>
      <c r="AW22" s="399">
        <f>IF(B22&lt;&gt;"",AND(P22="x",AD22,D22="Nữ"),"")</f>
        <v/>
      </c>
      <c r="AX22" s="399">
        <f>IF(B22&lt;&gt;"",AND(P22="x",AD22,R22),"")</f>
        <v/>
      </c>
    </row>
    <row r="23" ht="18.75" customFormat="1" customHeight="1" s="389">
      <c r="A23" s="390" t="inlineStr">
        <is>
          <t>21</t>
        </is>
      </c>
      <c r="B23" s="391" t="inlineStr">
        <is>
          <t>Long Thị Thu</t>
        </is>
      </c>
      <c r="C23" s="392" t="n">
        <v>1971</v>
      </c>
      <c r="D23" s="393" t="inlineStr">
        <is>
          <t>Nữ</t>
        </is>
      </c>
      <c r="E23" s="394" t="inlineStr">
        <is>
          <t>Nùng</t>
        </is>
      </c>
      <c r="F23" s="395">
        <f>IF(YEAR(TODAY())-C23&lt;=30,"X","")</f>
        <v/>
      </c>
      <c r="G23" s="395">
        <f>IF(AND(F23="X",E23&lt;&gt;"Kinh"),"X","")</f>
        <v/>
      </c>
      <c r="H23" s="396" t="n">
        <v>7</v>
      </c>
      <c r="I23" s="397" t="inlineStr">
        <is>
          <t>Người dân tộc thiểu số</t>
        </is>
      </c>
      <c r="J23" s="395">
        <f>VLOOKUP(I23,IDs!$B$37:$C$46,2,0)</f>
        <v/>
      </c>
      <c r="K23" s="397" t="inlineStr">
        <is>
          <t>Kon Đào, ĐăkTô, Kon Tum</t>
        </is>
      </c>
      <c r="L23" s="398" t="inlineStr">
        <is>
          <t>Bình Gia, Lạng Sơn</t>
        </is>
      </c>
      <c r="M23" s="398" t="inlineStr">
        <is>
          <t>Đăk No, Ngọk Tụ, Đăk Tô, Kon Tum</t>
        </is>
      </c>
      <c r="N23" s="399">
        <f>IF(C23="","",IF(YEAR(TODAY())-C23&lt;15,"Không đủ tuổi theo học",IF(AND(D23="Nam",YEAR(TODAY())-C23&gt;60),"Quá tuổi theo học",IF(AND(D23="Nữ",YEAR(TODAY())-C23&gt;55),"Quá tuổi theo học","Đảm bảo"))))</f>
        <v/>
      </c>
      <c r="O23" s="399">
        <f>IF(B23="","",IF(OR(LEFT(B23,1)="Y",LEFT(B23,1)="A"),"",IF(I23&lt;&gt;"Đối tượng lao động nông thôn khác","Cần hồ sơ chứng minh nhóm đối tượng","")))</f>
        <v/>
      </c>
      <c r="P23" s="400" t="inlineStr">
        <is>
          <t>x</t>
        </is>
      </c>
      <c r="Q23" s="399">
        <f>IF(B23&lt;&gt;"",AND(D23="Nữ",I23="Người dân tộc thiểu số"),"")</f>
        <v/>
      </c>
      <c r="R23" s="399">
        <f>IF(B23&lt;&gt;"",I23="Người dân tộc thiểu số","")</f>
        <v/>
      </c>
      <c r="S23" s="401">
        <f>IF(B23&lt;&gt;"",MENU!$E$5-'Thông tin hoc sinh'!C23&lt;31,"")</f>
        <v/>
      </c>
      <c r="T23" s="399">
        <f>IF(B23&lt;&gt;"",AND(R23,S23),"")</f>
        <v/>
      </c>
      <c r="U23" s="399">
        <f>IF(B23&lt;&gt;"",(H23&gt;=9),"")</f>
        <v/>
      </c>
      <c r="V23" s="399">
        <f>IF(B23&lt;&gt;"",AND(U23,D23="Nữ"),"")</f>
        <v/>
      </c>
      <c r="W23" s="399">
        <f>IF(B23&lt;&gt;"",AND(U23,R23),"")</f>
        <v/>
      </c>
      <c r="X23" s="399">
        <f>IF(B23&lt;&gt;"",MENU!$E$5-'Thông tin hoc sinh'!C23&lt;26,"")</f>
        <v/>
      </c>
      <c r="Y23" s="399">
        <f>IF(B23&lt;&gt;"",AND(X23,D23="Nữ"),"")</f>
        <v/>
      </c>
      <c r="Z23" s="399">
        <f>IF(B23&lt;&gt;"",AND(X23,R23),"")</f>
        <v/>
      </c>
      <c r="AA23" s="399">
        <f>IF(B23&lt;&gt;"",AND(MENU!$E$5-'Thông tin hoc sinh'!C23&gt;=26,MENU!$E$5-'Thông tin hoc sinh'!C23&lt;=45),"")</f>
        <v/>
      </c>
      <c r="AB23" s="399">
        <f>IF(B23&lt;&gt;"",AND(AA23,D23="Nữ"),"")</f>
        <v/>
      </c>
      <c r="AC23" s="399">
        <f>IF(B23&lt;&gt;"",AND(AA23,R23),"")</f>
        <v/>
      </c>
      <c r="AD23" s="399">
        <f>IF(B23&lt;&gt;"",MENU!$E$5-'Thông tin hoc sinh'!C23&gt;45,"")</f>
        <v/>
      </c>
      <c r="AE23" s="399">
        <f>IF(B23&lt;&gt;"",AND(AD23,D23="Nữ"),"")</f>
        <v/>
      </c>
      <c r="AF23" s="399">
        <f>IF(B23&lt;&gt;"",AND(AD23,R23),"")</f>
        <v/>
      </c>
      <c r="AG23" s="399">
        <f>IF(P23&lt;&gt;"",J23,"")</f>
        <v/>
      </c>
      <c r="AH23" s="399">
        <f>IF(B23&lt;&gt;"",AND(P23="x",D23="Nữ"),"")</f>
        <v/>
      </c>
      <c r="AI23" s="399">
        <f>IF(B23&lt;&gt;"",AND(P23="x",D23="Nữ",I23="Người dân tộc thiểu số"),"")</f>
        <v/>
      </c>
      <c r="AJ23" s="399">
        <f>IF(B23&lt;&gt;"",AND(P23="x",I23="Người dân tộc thiểu số"),"")</f>
        <v/>
      </c>
      <c r="AK23" s="401">
        <f>IF(B23&lt;&gt;"",AND(P23="x",MENU!$E$5-'Thông tin hoc sinh'!C23&lt;31),"")</f>
        <v/>
      </c>
      <c r="AL23" s="399">
        <f>IF(B23&lt;&gt;"",AND(P23="x",R23,S23),"")</f>
        <v/>
      </c>
      <c r="AM23" s="399">
        <f>IF(B23&lt;&gt;"",AND(H23&gt;=9,P23="x"),"")</f>
        <v/>
      </c>
      <c r="AN23" s="399">
        <f>IF(B23&lt;&gt;"",AND(P23="x",X23,D23="Nữ"),"")</f>
        <v/>
      </c>
      <c r="AO23" s="399">
        <f>IF(B23&lt;&gt;"",AND(P23="x",U23,R23),"")</f>
        <v/>
      </c>
      <c r="AP23" s="399">
        <f>IF(B23&lt;&gt;"",AND(P23="x",MENU!$E$5-'Thông tin hoc sinh'!C23&lt;26),"")</f>
        <v/>
      </c>
      <c r="AQ23" s="399">
        <f>IF(B23&lt;&gt;"",AND(P23="x",X23,D23="Nữ"),"")</f>
        <v/>
      </c>
      <c r="AR23" s="399">
        <f>IF(B23&lt;&gt;"",AND(P23="x",X23,R23),"")</f>
        <v/>
      </c>
      <c r="AS23" s="399">
        <f>IF(B23&lt;&gt;"",AND(P23="x",MENU!$E$5-'Thông tin hoc sinh'!C23&gt;=26,MENU!$E$5-'Thông tin hoc sinh'!C23&lt;=45),"")</f>
        <v/>
      </c>
      <c r="AT23" s="399">
        <f>IF(B23&lt;&gt;"",AND(P23="x",AA23,D23="Nữ"),"")</f>
        <v/>
      </c>
      <c r="AU23" s="399">
        <f>IF(B23&lt;&gt;"",AND(P23="x",AA23,R23),"")</f>
        <v/>
      </c>
      <c r="AV23" s="399">
        <f>IF(B23&lt;&gt;"",AND(P23="x",MENU!$E$5-'Thông tin hoc sinh'!C23&gt;45),"")</f>
        <v/>
      </c>
      <c r="AW23" s="399">
        <f>IF(B23&lt;&gt;"",AND(P23="x",AD23,D23="Nữ"),"")</f>
        <v/>
      </c>
      <c r="AX23" s="399">
        <f>IF(B23&lt;&gt;"",AND(P23="x",AD23,R23),"")</f>
        <v/>
      </c>
    </row>
    <row r="24" ht="18.75" customFormat="1" customHeight="1" s="389">
      <c r="A24" s="390" t="inlineStr">
        <is>
          <t>22</t>
        </is>
      </c>
      <c r="B24" s="391" t="inlineStr">
        <is>
          <t>Lê Văn Chính</t>
        </is>
      </c>
      <c r="C24" s="392" t="n">
        <v>1995</v>
      </c>
      <c r="D24" s="393" t="inlineStr">
        <is>
          <t>Nam</t>
        </is>
      </c>
      <c r="E24" s="394" t="inlineStr">
        <is>
          <t>Nùng</t>
        </is>
      </c>
      <c r="F24" s="395">
        <f>IF(YEAR(TODAY())-C24&lt;=30,"X","")</f>
        <v/>
      </c>
      <c r="G24" s="395">
        <f>IF(AND(F24="X",E24&lt;&gt;"Kinh"),"X","")</f>
        <v/>
      </c>
      <c r="H24" s="396" t="n">
        <v>9</v>
      </c>
      <c r="I24" s="397" t="inlineStr">
        <is>
          <t>Người dân tộc thiểu số</t>
        </is>
      </c>
      <c r="J24" s="395">
        <f>VLOOKUP(I24,IDs!$B$37:$C$46,2,0)</f>
        <v/>
      </c>
      <c r="K24" s="397" t="inlineStr">
        <is>
          <t>Kon Đào, ĐăkTô, Kon Tum</t>
        </is>
      </c>
      <c r="L24" s="398" t="inlineStr">
        <is>
          <t>Văn Quan, Lạng Sơn</t>
        </is>
      </c>
      <c r="M24" s="398" t="inlineStr">
        <is>
          <t>Đăk No, Ngọk Tụ, Đăk Tô, Kon Tum</t>
        </is>
      </c>
      <c r="N24" s="399">
        <f>IF(C24="","",IF(YEAR(TODAY())-C24&lt;15,"Không đủ tuổi theo học",IF(AND(D24="Nam",YEAR(TODAY())-C24&gt;60),"Quá tuổi theo học",IF(AND(D24="Nữ",YEAR(TODAY())-C24&gt;55),"Quá tuổi theo học","Đảm bảo"))))</f>
        <v/>
      </c>
      <c r="O24" s="399">
        <f>IF(B24="","",IF(OR(LEFT(B24,1)="Y",LEFT(B24,1)="A"),"",IF(I24&lt;&gt;"Đối tượng lao động nông thôn khác","Cần hồ sơ chứng minh nhóm đối tượng","")))</f>
        <v/>
      </c>
      <c r="P24" s="400" t="inlineStr">
        <is>
          <t>x</t>
        </is>
      </c>
      <c r="Q24" s="399">
        <f>IF(B24&lt;&gt;"",AND(D24="Nữ",I24="Người dân tộc thiểu số"),"")</f>
        <v/>
      </c>
      <c r="R24" s="399">
        <f>IF(B24&lt;&gt;"",I24="Người dân tộc thiểu số","")</f>
        <v/>
      </c>
      <c r="S24" s="401">
        <f>IF(B24&lt;&gt;"",MENU!$E$5-'Thông tin hoc sinh'!C24&lt;31,"")</f>
        <v/>
      </c>
      <c r="T24" s="399">
        <f>IF(B24&lt;&gt;"",AND(R24,S24),"")</f>
        <v/>
      </c>
      <c r="U24" s="399">
        <f>IF(B24&lt;&gt;"",(H24&gt;=9),"")</f>
        <v/>
      </c>
      <c r="V24" s="399">
        <f>IF(B24&lt;&gt;"",AND(U24,D24="Nữ"),"")</f>
        <v/>
      </c>
      <c r="W24" s="399">
        <f>IF(B24&lt;&gt;"",AND(U24,R24),"")</f>
        <v/>
      </c>
      <c r="X24" s="399">
        <f>IF(B24&lt;&gt;"",MENU!$E$5-'Thông tin hoc sinh'!C24&lt;26,"")</f>
        <v/>
      </c>
      <c r="Y24" s="399">
        <f>IF(B24&lt;&gt;"",AND(X24,D24="Nữ"),"")</f>
        <v/>
      </c>
      <c r="Z24" s="399">
        <f>IF(B24&lt;&gt;"",AND(X24,R24),"")</f>
        <v/>
      </c>
      <c r="AA24" s="399">
        <f>IF(B24&lt;&gt;"",AND(MENU!$E$5-'Thông tin hoc sinh'!C24&gt;=26,MENU!$E$5-'Thông tin hoc sinh'!C24&lt;=45),"")</f>
        <v/>
      </c>
      <c r="AB24" s="399">
        <f>IF(B24&lt;&gt;"",AND(AA24,D24="Nữ"),"")</f>
        <v/>
      </c>
      <c r="AC24" s="399">
        <f>IF(B24&lt;&gt;"",AND(AA24,R24),"")</f>
        <v/>
      </c>
      <c r="AD24" s="399">
        <f>IF(B24&lt;&gt;"",MENU!$E$5-'Thông tin hoc sinh'!C24&gt;45,"")</f>
        <v/>
      </c>
      <c r="AE24" s="399">
        <f>IF(B24&lt;&gt;"",AND(AD24,D24="Nữ"),"")</f>
        <v/>
      </c>
      <c r="AF24" s="399">
        <f>IF(B24&lt;&gt;"",AND(AD24,R24),"")</f>
        <v/>
      </c>
      <c r="AG24" s="399">
        <f>IF(P24&lt;&gt;"",J24,"")</f>
        <v/>
      </c>
      <c r="AH24" s="399">
        <f>IF(B24&lt;&gt;"",AND(P24="x",D24="Nữ"),"")</f>
        <v/>
      </c>
      <c r="AI24" s="399">
        <f>IF(B24&lt;&gt;"",AND(P24="x",D24="Nữ",I24="Người dân tộc thiểu số"),"")</f>
        <v/>
      </c>
      <c r="AJ24" s="399">
        <f>IF(B24&lt;&gt;"",AND(P24="x",I24="Người dân tộc thiểu số"),"")</f>
        <v/>
      </c>
      <c r="AK24" s="401">
        <f>IF(B24&lt;&gt;"",AND(P24="x",MENU!$E$5-'Thông tin hoc sinh'!C24&lt;31),"")</f>
        <v/>
      </c>
      <c r="AL24" s="399">
        <f>IF(B24&lt;&gt;"",AND(P24="x",R24,S24),"")</f>
        <v/>
      </c>
      <c r="AM24" s="399">
        <f>IF(B24&lt;&gt;"",AND(H24&gt;=9,P24="x"),"")</f>
        <v/>
      </c>
      <c r="AN24" s="399">
        <f>IF(B24&lt;&gt;"",AND(P24="x",X24,D24="Nữ"),"")</f>
        <v/>
      </c>
      <c r="AO24" s="399">
        <f>IF(B24&lt;&gt;"",AND(P24="x",U24,R24),"")</f>
        <v/>
      </c>
      <c r="AP24" s="399">
        <f>IF(B24&lt;&gt;"",AND(P24="x",MENU!$E$5-'Thông tin hoc sinh'!C24&lt;26),"")</f>
        <v/>
      </c>
      <c r="AQ24" s="399">
        <f>IF(B24&lt;&gt;"",AND(P24="x",X24,D24="Nữ"),"")</f>
        <v/>
      </c>
      <c r="AR24" s="399">
        <f>IF(B24&lt;&gt;"",AND(P24="x",X24,R24),"")</f>
        <v/>
      </c>
      <c r="AS24" s="399">
        <f>IF(B24&lt;&gt;"",AND(P24="x",MENU!$E$5-'Thông tin hoc sinh'!C24&gt;=26,MENU!$E$5-'Thông tin hoc sinh'!C24&lt;=45),"")</f>
        <v/>
      </c>
      <c r="AT24" s="399">
        <f>IF(B24&lt;&gt;"",AND(P24="x",AA24,D24="Nữ"),"")</f>
        <v/>
      </c>
      <c r="AU24" s="399">
        <f>IF(B24&lt;&gt;"",AND(P24="x",AA24,R24),"")</f>
        <v/>
      </c>
      <c r="AV24" s="399">
        <f>IF(B24&lt;&gt;"",AND(P24="x",MENU!$E$5-'Thông tin hoc sinh'!C24&gt;45),"")</f>
        <v/>
      </c>
      <c r="AW24" s="399">
        <f>IF(B24&lt;&gt;"",AND(P24="x",AD24,D24="Nữ"),"")</f>
        <v/>
      </c>
      <c r="AX24" s="399">
        <f>IF(B24&lt;&gt;"",AND(P24="x",AD24,R24),"")</f>
        <v/>
      </c>
    </row>
    <row r="25" ht="18.75" customFormat="1" customHeight="1" s="389">
      <c r="A25" s="390" t="inlineStr">
        <is>
          <t>23</t>
        </is>
      </c>
      <c r="B25" s="391" t="inlineStr">
        <is>
          <t>Lê Văn Nhàn</t>
        </is>
      </c>
      <c r="C25" s="392" t="n">
        <v>1996</v>
      </c>
      <c r="D25" s="393" t="inlineStr">
        <is>
          <t>Nam</t>
        </is>
      </c>
      <c r="E25" s="394" t="inlineStr">
        <is>
          <t>Nùng</t>
        </is>
      </c>
      <c r="F25" s="395">
        <f>IF(YEAR(TODAY())-C25&lt;=30,"X","")</f>
        <v/>
      </c>
      <c r="G25" s="395">
        <f>IF(AND(F25="X",E25&lt;&gt;"Kinh"),"X","")</f>
        <v/>
      </c>
      <c r="H25" s="396" t="n">
        <v>12</v>
      </c>
      <c r="I25" s="397" t="inlineStr">
        <is>
          <t>Người dân tộc thiểu số</t>
        </is>
      </c>
      <c r="J25" s="395">
        <f>VLOOKUP(I25,IDs!$B$37:$C$46,2,0)</f>
        <v/>
      </c>
      <c r="K25" s="397" t="inlineStr">
        <is>
          <t>Kon Đào, ĐăkTô, Kon Tum</t>
        </is>
      </c>
      <c r="L25" s="398" t="inlineStr">
        <is>
          <t>Văn Quan, Lạng Sơn</t>
        </is>
      </c>
      <c r="M25" s="398" t="inlineStr">
        <is>
          <t>Đăk No, Ngọk Tụ, Đăk Tô, Kon Tum</t>
        </is>
      </c>
      <c r="N25" s="399">
        <f>IF(C25="","",IF(YEAR(TODAY())-C25&lt;15,"Không đủ tuổi theo học",IF(AND(D25="Nam",YEAR(TODAY())-C25&gt;60),"Quá tuổi theo học",IF(AND(D25="Nữ",YEAR(TODAY())-C25&gt;55),"Quá tuổi theo học","Đảm bảo"))))</f>
        <v/>
      </c>
      <c r="O25" s="399">
        <f>IF(B25="","",IF(OR(LEFT(B25,1)="Y",LEFT(B25,1)="A"),"",IF(I25&lt;&gt;"Đối tượng lao động nông thôn khác","Cần hồ sơ chứng minh nhóm đối tượng","")))</f>
        <v/>
      </c>
      <c r="P25" s="400" t="inlineStr">
        <is>
          <t>x</t>
        </is>
      </c>
      <c r="Q25" s="399">
        <f>IF(B25&lt;&gt;"",AND(D25="Nữ",I25="Người dân tộc thiểu số"),"")</f>
        <v/>
      </c>
      <c r="R25" s="399">
        <f>IF(B25&lt;&gt;"",I25="Người dân tộc thiểu số","")</f>
        <v/>
      </c>
      <c r="S25" s="401">
        <f>IF(B25&lt;&gt;"",MENU!$E$5-'Thông tin hoc sinh'!C25&lt;31,"")</f>
        <v/>
      </c>
      <c r="T25" s="399">
        <f>IF(B25&lt;&gt;"",AND(R25,S25),"")</f>
        <v/>
      </c>
      <c r="U25" s="399">
        <f>IF(B25&lt;&gt;"",(H25&gt;=9),"")</f>
        <v/>
      </c>
      <c r="V25" s="399">
        <f>IF(B25&lt;&gt;"",AND(U25,D25="Nữ"),"")</f>
        <v/>
      </c>
      <c r="W25" s="399">
        <f>IF(B25&lt;&gt;"",AND(U25,R25),"")</f>
        <v/>
      </c>
      <c r="X25" s="399">
        <f>IF(B25&lt;&gt;"",MENU!$E$5-'Thông tin hoc sinh'!C25&lt;26,"")</f>
        <v/>
      </c>
      <c r="Y25" s="399">
        <f>IF(B25&lt;&gt;"",AND(X25,D25="Nữ"),"")</f>
        <v/>
      </c>
      <c r="Z25" s="399">
        <f>IF(B25&lt;&gt;"",AND(X25,R25),"")</f>
        <v/>
      </c>
      <c r="AA25" s="399">
        <f>IF(B25&lt;&gt;"",AND(MENU!$E$5-'Thông tin hoc sinh'!C25&gt;=26,MENU!$E$5-'Thông tin hoc sinh'!C25&lt;=45),"")</f>
        <v/>
      </c>
      <c r="AB25" s="399">
        <f>IF(B25&lt;&gt;"",AND(AA25,D25="Nữ"),"")</f>
        <v/>
      </c>
      <c r="AC25" s="399">
        <f>IF(B25&lt;&gt;"",AND(AA25,R25),"")</f>
        <v/>
      </c>
      <c r="AD25" s="399">
        <f>IF(B25&lt;&gt;"",MENU!$E$5-'Thông tin hoc sinh'!C25&gt;45,"")</f>
        <v/>
      </c>
      <c r="AE25" s="399">
        <f>IF(B25&lt;&gt;"",AND(AD25,D25="Nữ"),"")</f>
        <v/>
      </c>
      <c r="AF25" s="399">
        <f>IF(B25&lt;&gt;"",AND(AD25,R25),"")</f>
        <v/>
      </c>
      <c r="AG25" s="399">
        <f>IF(P25&lt;&gt;"",J25,"")</f>
        <v/>
      </c>
      <c r="AH25" s="399">
        <f>IF(B25&lt;&gt;"",AND(P25="x",D25="Nữ"),"")</f>
        <v/>
      </c>
      <c r="AI25" s="399">
        <f>IF(B25&lt;&gt;"",AND(P25="x",D25="Nữ",I25="Người dân tộc thiểu số"),"")</f>
        <v/>
      </c>
      <c r="AJ25" s="399">
        <f>IF(B25&lt;&gt;"",AND(P25="x",I25="Người dân tộc thiểu số"),"")</f>
        <v/>
      </c>
      <c r="AK25" s="401">
        <f>IF(B25&lt;&gt;"",AND(P25="x",MENU!$E$5-'Thông tin hoc sinh'!C25&lt;31),"")</f>
        <v/>
      </c>
      <c r="AL25" s="399">
        <f>IF(B25&lt;&gt;"",AND(P25="x",R25,S25),"")</f>
        <v/>
      </c>
      <c r="AM25" s="399">
        <f>IF(B25&lt;&gt;"",AND(H25&gt;=9,P25="x"),"")</f>
        <v/>
      </c>
      <c r="AN25" s="399">
        <f>IF(B25&lt;&gt;"",AND(P25="x",X25,D25="Nữ"),"")</f>
        <v/>
      </c>
      <c r="AO25" s="399">
        <f>IF(B25&lt;&gt;"",AND(P25="x",U25,R25),"")</f>
        <v/>
      </c>
      <c r="AP25" s="399">
        <f>IF(B25&lt;&gt;"",AND(P25="x",MENU!$E$5-'Thông tin hoc sinh'!C25&lt;26),"")</f>
        <v/>
      </c>
      <c r="AQ25" s="399">
        <f>IF(B25&lt;&gt;"",AND(P25="x",X25,D25="Nữ"),"")</f>
        <v/>
      </c>
      <c r="AR25" s="399">
        <f>IF(B25&lt;&gt;"",AND(P25="x",X25,R25),"")</f>
        <v/>
      </c>
      <c r="AS25" s="399">
        <f>IF(B25&lt;&gt;"",AND(P25="x",MENU!$E$5-'Thông tin hoc sinh'!C25&gt;=26,MENU!$E$5-'Thông tin hoc sinh'!C25&lt;=45),"")</f>
        <v/>
      </c>
      <c r="AT25" s="399">
        <f>IF(B25&lt;&gt;"",AND(P25="x",AA25,D25="Nữ"),"")</f>
        <v/>
      </c>
      <c r="AU25" s="399">
        <f>IF(B25&lt;&gt;"",AND(P25="x",AA25,R25),"")</f>
        <v/>
      </c>
      <c r="AV25" s="399">
        <f>IF(B25&lt;&gt;"",AND(P25="x",MENU!$E$5-'Thông tin hoc sinh'!C25&gt;45),"")</f>
        <v/>
      </c>
      <c r="AW25" s="399">
        <f>IF(B25&lt;&gt;"",AND(P25="x",AD25,D25="Nữ"),"")</f>
        <v/>
      </c>
      <c r="AX25" s="399">
        <f>IF(B25&lt;&gt;"",AND(P25="x",AD25,R25),"")</f>
        <v/>
      </c>
    </row>
    <row r="26" ht="18.75" customFormat="1" customHeight="1" s="389">
      <c r="A26" s="390" t="inlineStr">
        <is>
          <t>24</t>
        </is>
      </c>
      <c r="B26" s="391" t="inlineStr">
        <is>
          <t>Lê Văn Sung</t>
        </is>
      </c>
      <c r="C26" s="392" t="n">
        <v>1998</v>
      </c>
      <c r="D26" s="393" t="inlineStr">
        <is>
          <t>Nam</t>
        </is>
      </c>
      <c r="E26" s="394" t="inlineStr">
        <is>
          <t>Nùng</t>
        </is>
      </c>
      <c r="F26" s="395">
        <f>IF(YEAR(TODAY())-C26&lt;=30,"X","")</f>
        <v/>
      </c>
      <c r="G26" s="395">
        <f>IF(AND(F26="X",E26&lt;&gt;"Kinh"),"X","")</f>
        <v/>
      </c>
      <c r="H26" s="396" t="n">
        <v>12</v>
      </c>
      <c r="I26" s="397" t="inlineStr">
        <is>
          <t>Người dân tộc thiểu số</t>
        </is>
      </c>
      <c r="J26" s="395">
        <f>VLOOKUP(I26,IDs!$B$37:$C$46,2,0)</f>
        <v/>
      </c>
      <c r="K26" s="397" t="inlineStr">
        <is>
          <t>Kon Đào, ĐăkTô, Kon Tum</t>
        </is>
      </c>
      <c r="L26" s="398" t="inlineStr">
        <is>
          <t>Văn Quan, Lạng Sơn</t>
        </is>
      </c>
      <c r="M26" s="398" t="inlineStr">
        <is>
          <t>Đăk No, Ngọk Tụ, Đăk Tô, Kon Tum</t>
        </is>
      </c>
      <c r="N26" s="399">
        <f>IF(C26="","",IF(YEAR(TODAY())-C26&lt;15,"Không đủ tuổi theo học",IF(AND(D26="Nam",YEAR(TODAY())-C26&gt;60),"Quá tuổi theo học",IF(AND(D26="Nữ",YEAR(TODAY())-C26&gt;55),"Quá tuổi theo học","Đảm bảo"))))</f>
        <v/>
      </c>
      <c r="O26" s="399">
        <f>IF(B26="","",IF(OR(LEFT(B26,1)="Y",LEFT(B26,1)="A"),"",IF(I26&lt;&gt;"Đối tượng lao động nông thôn khác","Cần hồ sơ chứng minh nhóm đối tượng","")))</f>
        <v/>
      </c>
      <c r="P26" s="400" t="inlineStr">
        <is>
          <t>x</t>
        </is>
      </c>
      <c r="Q26" s="399">
        <f>IF(B26&lt;&gt;"",AND(D26="Nữ",I26="Người dân tộc thiểu số"),"")</f>
        <v/>
      </c>
      <c r="R26" s="399">
        <f>IF(B26&lt;&gt;"",I26="Người dân tộc thiểu số","")</f>
        <v/>
      </c>
      <c r="S26" s="401">
        <f>IF(B26&lt;&gt;"",MENU!$E$5-'Thông tin hoc sinh'!C26&lt;31,"")</f>
        <v/>
      </c>
      <c r="T26" s="399">
        <f>IF(B26&lt;&gt;"",AND(R26,S26),"")</f>
        <v/>
      </c>
      <c r="U26" s="399">
        <f>IF(B26&lt;&gt;"",(H26&gt;=9),"")</f>
        <v/>
      </c>
      <c r="V26" s="399">
        <f>IF(B26&lt;&gt;"",AND(U26,D26="Nữ"),"")</f>
        <v/>
      </c>
      <c r="W26" s="399">
        <f>IF(B26&lt;&gt;"",AND(U26,R26),"")</f>
        <v/>
      </c>
      <c r="X26" s="399">
        <f>IF(B26&lt;&gt;"",MENU!$E$5-'Thông tin hoc sinh'!C26&lt;26,"")</f>
        <v/>
      </c>
      <c r="Y26" s="399">
        <f>IF(B26&lt;&gt;"",AND(X26,D26="Nữ"),"")</f>
        <v/>
      </c>
      <c r="Z26" s="399">
        <f>IF(B26&lt;&gt;"",AND(X26,R26),"")</f>
        <v/>
      </c>
      <c r="AA26" s="399">
        <f>IF(B26&lt;&gt;"",AND(MENU!$E$5-'Thông tin hoc sinh'!C26&gt;=26,MENU!$E$5-'Thông tin hoc sinh'!C26&lt;=45),"")</f>
        <v/>
      </c>
      <c r="AB26" s="399">
        <f>IF(B26&lt;&gt;"",AND(AA26,D26="Nữ"),"")</f>
        <v/>
      </c>
      <c r="AC26" s="399">
        <f>IF(B26&lt;&gt;"",AND(AA26,R26),"")</f>
        <v/>
      </c>
      <c r="AD26" s="399">
        <f>IF(B26&lt;&gt;"",MENU!$E$5-'Thông tin hoc sinh'!C26&gt;45,"")</f>
        <v/>
      </c>
      <c r="AE26" s="399">
        <f>IF(B26&lt;&gt;"",AND(AD26,D26="Nữ"),"")</f>
        <v/>
      </c>
      <c r="AF26" s="399">
        <f>IF(B26&lt;&gt;"",AND(AD26,R26),"")</f>
        <v/>
      </c>
      <c r="AG26" s="399">
        <f>IF(P26&lt;&gt;"",J26,"")</f>
        <v/>
      </c>
      <c r="AH26" s="399">
        <f>IF(B26&lt;&gt;"",AND(P26="x",D26="Nữ"),"")</f>
        <v/>
      </c>
      <c r="AI26" s="399">
        <f>IF(B26&lt;&gt;"",AND(P26="x",D26="Nữ",I26="Người dân tộc thiểu số"),"")</f>
        <v/>
      </c>
      <c r="AJ26" s="399">
        <f>IF(B26&lt;&gt;"",AND(P26="x",I26="Người dân tộc thiểu số"),"")</f>
        <v/>
      </c>
      <c r="AK26" s="401">
        <f>IF(B26&lt;&gt;"",AND(P26="x",MENU!$E$5-'Thông tin hoc sinh'!C26&lt;31),"")</f>
        <v/>
      </c>
      <c r="AL26" s="399">
        <f>IF(B26&lt;&gt;"",AND(P26="x",R26,S26),"")</f>
        <v/>
      </c>
      <c r="AM26" s="399">
        <f>IF(B26&lt;&gt;"",AND(H26&gt;=9,P26="x"),"")</f>
        <v/>
      </c>
      <c r="AN26" s="399">
        <f>IF(B26&lt;&gt;"",AND(P26="x",X26,D26="Nữ"),"")</f>
        <v/>
      </c>
      <c r="AO26" s="399">
        <f>IF(B26&lt;&gt;"",AND(P26="x",U26,R26),"")</f>
        <v/>
      </c>
      <c r="AP26" s="399">
        <f>IF(B26&lt;&gt;"",AND(P26="x",MENU!$E$5-'Thông tin hoc sinh'!C26&lt;26),"")</f>
        <v/>
      </c>
      <c r="AQ26" s="399">
        <f>IF(B26&lt;&gt;"",AND(P26="x",X26,D26="Nữ"),"")</f>
        <v/>
      </c>
      <c r="AR26" s="399">
        <f>IF(B26&lt;&gt;"",AND(P26="x",X26,R26),"")</f>
        <v/>
      </c>
      <c r="AS26" s="399">
        <f>IF(B26&lt;&gt;"",AND(P26="x",MENU!$E$5-'Thông tin hoc sinh'!C26&gt;=26,MENU!$E$5-'Thông tin hoc sinh'!C26&lt;=45),"")</f>
        <v/>
      </c>
      <c r="AT26" s="399">
        <f>IF(B26&lt;&gt;"",AND(P26="x",AA26,D26="Nữ"),"")</f>
        <v/>
      </c>
      <c r="AU26" s="399">
        <f>IF(B26&lt;&gt;"",AND(P26="x",AA26,R26),"")</f>
        <v/>
      </c>
      <c r="AV26" s="399">
        <f>IF(B26&lt;&gt;"",AND(P26="x",MENU!$E$5-'Thông tin hoc sinh'!C26&gt;45),"")</f>
        <v/>
      </c>
      <c r="AW26" s="399">
        <f>IF(B26&lt;&gt;"",AND(P26="x",AD26,D26="Nữ"),"")</f>
        <v/>
      </c>
      <c r="AX26" s="399">
        <f>IF(B26&lt;&gt;"",AND(P26="x",AD26,R26),"")</f>
        <v/>
      </c>
    </row>
    <row r="27" ht="18.75" customFormat="1" customHeight="1" s="389">
      <c r="A27" s="390" t="inlineStr">
        <is>
          <t>25</t>
        </is>
      </c>
      <c r="B27" s="391" t="inlineStr">
        <is>
          <t>A Hùng</t>
        </is>
      </c>
      <c r="C27" s="392" t="n">
        <v>1995</v>
      </c>
      <c r="D27" s="393" t="inlineStr">
        <is>
          <t>Nam</t>
        </is>
      </c>
      <c r="E27" s="394" t="inlineStr">
        <is>
          <t>Dẻ</t>
        </is>
      </c>
      <c r="F27" s="395">
        <f>IF(YEAR(TODAY())-C27&lt;=30,"X","")</f>
        <v/>
      </c>
      <c r="G27" s="395">
        <f>IF(AND(F27="X",E27&lt;&gt;"Kinh"),"X","")</f>
        <v/>
      </c>
      <c r="H27" s="396" t="n">
        <v>9</v>
      </c>
      <c r="I27" s="397" t="inlineStr">
        <is>
          <t>Người dân tộc thiểu số</t>
        </is>
      </c>
      <c r="J27" s="395">
        <f>VLOOKUP(I27,IDs!$B$37:$C$46,2,0)</f>
        <v/>
      </c>
      <c r="K27" s="397" t="inlineStr">
        <is>
          <t>Kon Đào, ĐăkTô, Kon Tum</t>
        </is>
      </c>
      <c r="L27" s="398" t="inlineStr">
        <is>
          <t>Đăk Glei, Kon Tum</t>
        </is>
      </c>
      <c r="M27" s="398" t="inlineStr">
        <is>
          <t>Đăk Tăng, Ngọk Tụ, Đăk Tô, Kon Tum</t>
        </is>
      </c>
      <c r="N27" s="399">
        <f>IF(C27="","",IF(YEAR(TODAY())-C27&lt;15,"Không đủ tuổi theo học",IF(AND(D27="Nam",YEAR(TODAY())-C27&gt;60),"Quá tuổi theo học",IF(AND(D27="Nữ",YEAR(TODAY())-C27&gt;55),"Quá tuổi theo học","Đảm bảo"))))</f>
        <v/>
      </c>
      <c r="O27" s="399">
        <f>IF(B27="","",IF(OR(LEFT(B27,1)="Y",LEFT(B27,1)="A"),"",IF(I27&lt;&gt;"Đối tượng lao động nông thôn khác","Cần hồ sơ chứng minh nhóm đối tượng","")))</f>
        <v/>
      </c>
      <c r="P27" s="400" t="inlineStr">
        <is>
          <t>x</t>
        </is>
      </c>
      <c r="Q27" s="399">
        <f>IF(B27&lt;&gt;"",AND(D27="Nữ",I27="Người dân tộc thiểu số"),"")</f>
        <v/>
      </c>
      <c r="R27" s="399">
        <f>IF(B27&lt;&gt;"",I27="Người dân tộc thiểu số","")</f>
        <v/>
      </c>
      <c r="S27" s="401">
        <f>IF(B27&lt;&gt;"",MENU!$E$5-'Thông tin hoc sinh'!C27&lt;31,"")</f>
        <v/>
      </c>
      <c r="T27" s="399">
        <f>IF(B27&lt;&gt;"",AND(R27,S27),"")</f>
        <v/>
      </c>
      <c r="U27" s="399">
        <f>IF(B27&lt;&gt;"",(H27&gt;=9),"")</f>
        <v/>
      </c>
      <c r="V27" s="399">
        <f>IF(B27&lt;&gt;"",AND(U27,D27="Nữ"),"")</f>
        <v/>
      </c>
      <c r="W27" s="399">
        <f>IF(B27&lt;&gt;"",AND(U27,R27),"")</f>
        <v/>
      </c>
      <c r="X27" s="399">
        <f>IF(B27&lt;&gt;"",MENU!$E$5-'Thông tin hoc sinh'!C27&lt;26,"")</f>
        <v/>
      </c>
      <c r="Y27" s="399">
        <f>IF(B27&lt;&gt;"",AND(X27,D27="Nữ"),"")</f>
        <v/>
      </c>
      <c r="Z27" s="399">
        <f>IF(B27&lt;&gt;"",AND(X27,R27),"")</f>
        <v/>
      </c>
      <c r="AA27" s="399">
        <f>IF(B27&lt;&gt;"",AND(MENU!$E$5-'Thông tin hoc sinh'!C27&gt;=26,MENU!$E$5-'Thông tin hoc sinh'!C27&lt;=45),"")</f>
        <v/>
      </c>
      <c r="AB27" s="399">
        <f>IF(B27&lt;&gt;"",AND(AA27,D27="Nữ"),"")</f>
        <v/>
      </c>
      <c r="AC27" s="399">
        <f>IF(B27&lt;&gt;"",AND(AA27,R27),"")</f>
        <v/>
      </c>
      <c r="AD27" s="399">
        <f>IF(B27&lt;&gt;"",MENU!$E$5-'Thông tin hoc sinh'!C27&gt;45,"")</f>
        <v/>
      </c>
      <c r="AE27" s="399">
        <f>IF(B27&lt;&gt;"",AND(AD27,D27="Nữ"),"")</f>
        <v/>
      </c>
      <c r="AF27" s="399">
        <f>IF(B27&lt;&gt;"",AND(AD27,R27),"")</f>
        <v/>
      </c>
      <c r="AG27" s="399">
        <f>IF(P27&lt;&gt;"",J27,"")</f>
        <v/>
      </c>
      <c r="AH27" s="399">
        <f>IF(B27&lt;&gt;"",AND(P27="x",D27="Nữ"),"")</f>
        <v/>
      </c>
      <c r="AI27" s="399">
        <f>IF(B27&lt;&gt;"",AND(P27="x",D27="Nữ",I27="Người dân tộc thiểu số"),"")</f>
        <v/>
      </c>
      <c r="AJ27" s="399">
        <f>IF(B27&lt;&gt;"",AND(P27="x",I27="Người dân tộc thiểu số"),"")</f>
        <v/>
      </c>
      <c r="AK27" s="401">
        <f>IF(B27&lt;&gt;"",AND(P27="x",MENU!$E$5-'Thông tin hoc sinh'!C27&lt;31),"")</f>
        <v/>
      </c>
      <c r="AL27" s="399">
        <f>IF(B27&lt;&gt;"",AND(P27="x",R27,S27),"")</f>
        <v/>
      </c>
      <c r="AM27" s="399">
        <f>IF(B27&lt;&gt;"",AND(H27&gt;=9,P27="x"),"")</f>
        <v/>
      </c>
      <c r="AN27" s="399">
        <f>IF(B27&lt;&gt;"",AND(P27="x",X27,D27="Nữ"),"")</f>
        <v/>
      </c>
      <c r="AO27" s="399">
        <f>IF(B27&lt;&gt;"",AND(P27="x",U27,R27),"")</f>
        <v/>
      </c>
      <c r="AP27" s="399">
        <f>IF(B27&lt;&gt;"",AND(P27="x",MENU!$E$5-'Thông tin hoc sinh'!C27&lt;26),"")</f>
        <v/>
      </c>
      <c r="AQ27" s="399">
        <f>IF(B27&lt;&gt;"",AND(P27="x",X27,D27="Nữ"),"")</f>
        <v/>
      </c>
      <c r="AR27" s="399">
        <f>IF(B27&lt;&gt;"",AND(P27="x",X27,R27),"")</f>
        <v/>
      </c>
      <c r="AS27" s="399">
        <f>IF(B27&lt;&gt;"",AND(P27="x",MENU!$E$5-'Thông tin hoc sinh'!C27&gt;=26,MENU!$E$5-'Thông tin hoc sinh'!C27&lt;=45),"")</f>
        <v/>
      </c>
      <c r="AT27" s="399">
        <f>IF(B27&lt;&gt;"",AND(P27="x",AA27,D27="Nữ"),"")</f>
        <v/>
      </c>
      <c r="AU27" s="399">
        <f>IF(B27&lt;&gt;"",AND(P27="x",AA27,R27),"")</f>
        <v/>
      </c>
      <c r="AV27" s="399">
        <f>IF(B27&lt;&gt;"",AND(P27="x",MENU!$E$5-'Thông tin hoc sinh'!C27&gt;45),"")</f>
        <v/>
      </c>
      <c r="AW27" s="399">
        <f>IF(B27&lt;&gt;"",AND(P27="x",AD27,D27="Nữ"),"")</f>
        <v/>
      </c>
      <c r="AX27" s="399">
        <f>IF(B27&lt;&gt;"",AND(P27="x",AD27,R27),"")</f>
        <v/>
      </c>
    </row>
    <row r="28" ht="18.75" customFormat="1" customHeight="1" s="389">
      <c r="A28" s="390" t="inlineStr">
        <is>
          <t>26</t>
        </is>
      </c>
      <c r="B28" s="391" t="inlineStr">
        <is>
          <t>A Vũ</t>
        </is>
      </c>
      <c r="C28" s="392" t="n">
        <v>1995</v>
      </c>
      <c r="D28" s="393" t="inlineStr">
        <is>
          <t>Nam</t>
        </is>
      </c>
      <c r="E28" s="394" t="inlineStr">
        <is>
          <t>Dẻ</t>
        </is>
      </c>
      <c r="F28" s="395">
        <f>IF(YEAR(TODAY())-C28&lt;=30,"X","")</f>
        <v/>
      </c>
      <c r="G28" s="395">
        <f>IF(AND(F28="X",E28&lt;&gt;"Kinh"),"X","")</f>
        <v/>
      </c>
      <c r="H28" s="396" t="n">
        <v>12</v>
      </c>
      <c r="I28" s="397" t="inlineStr">
        <is>
          <t>Người dân tộc thiểu số</t>
        </is>
      </c>
      <c r="J28" s="395">
        <f>VLOOKUP(I28,IDs!$B$37:$C$46,2,0)</f>
        <v/>
      </c>
      <c r="K28" s="397" t="inlineStr">
        <is>
          <t>Kon Đào, ĐăkTô, Kon Tum</t>
        </is>
      </c>
      <c r="L28" s="398" t="inlineStr">
        <is>
          <t>Đăk Glei, Kon Tum</t>
        </is>
      </c>
      <c r="M28" s="398" t="inlineStr">
        <is>
          <t>Đăk Tăng, Ngọk Tụ, Đăk Tô, Kon Tum</t>
        </is>
      </c>
      <c r="N28" s="399">
        <f>IF(C28="","",IF(YEAR(TODAY())-C28&lt;15,"Không đủ tuổi theo học",IF(AND(D28="Nam",YEAR(TODAY())-C28&gt;60),"Quá tuổi theo học",IF(AND(D28="Nữ",YEAR(TODAY())-C28&gt;55),"Quá tuổi theo học","Đảm bảo"))))</f>
        <v/>
      </c>
      <c r="O28" s="399">
        <f>IF(B28="","",IF(OR(LEFT(B28,1)="Y",LEFT(B28,1)="A"),"",IF(I28&lt;&gt;"Đối tượng lao động nông thôn khác","Cần hồ sơ chứng minh nhóm đối tượng","")))</f>
        <v/>
      </c>
      <c r="P28" s="400" t="inlineStr">
        <is>
          <t>x</t>
        </is>
      </c>
      <c r="Q28" s="399">
        <f>IF(B28&lt;&gt;"",AND(D28="Nữ",I28="Người dân tộc thiểu số"),"")</f>
        <v/>
      </c>
      <c r="R28" s="399">
        <f>IF(B28&lt;&gt;"",I28="Người dân tộc thiểu số","")</f>
        <v/>
      </c>
      <c r="S28" s="401">
        <f>IF(B28&lt;&gt;"",MENU!$E$5-'Thông tin hoc sinh'!C28&lt;31,"")</f>
        <v/>
      </c>
      <c r="T28" s="399">
        <f>IF(B28&lt;&gt;"",AND(R28,S28),"")</f>
        <v/>
      </c>
      <c r="U28" s="399">
        <f>IF(B28&lt;&gt;"",(H28&gt;=9),"")</f>
        <v/>
      </c>
      <c r="V28" s="399">
        <f>IF(B28&lt;&gt;"",AND(U28,D28="Nữ"),"")</f>
        <v/>
      </c>
      <c r="W28" s="399">
        <f>IF(B28&lt;&gt;"",AND(U28,R28),"")</f>
        <v/>
      </c>
      <c r="X28" s="399">
        <f>IF(B28&lt;&gt;"",MENU!$E$5-'Thông tin hoc sinh'!C28&lt;26,"")</f>
        <v/>
      </c>
      <c r="Y28" s="399">
        <f>IF(B28&lt;&gt;"",AND(X28,D28="Nữ"),"")</f>
        <v/>
      </c>
      <c r="Z28" s="399">
        <f>IF(B28&lt;&gt;"",AND(X28,R28),"")</f>
        <v/>
      </c>
      <c r="AA28" s="399">
        <f>IF(B28&lt;&gt;"",AND(MENU!$E$5-'Thông tin hoc sinh'!C28&gt;=26,MENU!$E$5-'Thông tin hoc sinh'!C28&lt;=45),"")</f>
        <v/>
      </c>
      <c r="AB28" s="399">
        <f>IF(B28&lt;&gt;"",AND(AA28,D28="Nữ"),"")</f>
        <v/>
      </c>
      <c r="AC28" s="399">
        <f>IF(B28&lt;&gt;"",AND(AA28,R28),"")</f>
        <v/>
      </c>
      <c r="AD28" s="399">
        <f>IF(B28&lt;&gt;"",MENU!$E$5-'Thông tin hoc sinh'!C28&gt;45,"")</f>
        <v/>
      </c>
      <c r="AE28" s="399">
        <f>IF(B28&lt;&gt;"",AND(AD28,D28="Nữ"),"")</f>
        <v/>
      </c>
      <c r="AF28" s="399">
        <f>IF(B28&lt;&gt;"",AND(AD28,R28),"")</f>
        <v/>
      </c>
      <c r="AG28" s="399">
        <f>IF(P28&lt;&gt;"",J28,"")</f>
        <v/>
      </c>
      <c r="AH28" s="399">
        <f>IF(B28&lt;&gt;"",AND(P28="x",D28="Nữ"),"")</f>
        <v/>
      </c>
      <c r="AI28" s="399">
        <f>IF(B28&lt;&gt;"",AND(P28="x",D28="Nữ",I28="Người dân tộc thiểu số"),"")</f>
        <v/>
      </c>
      <c r="AJ28" s="399">
        <f>IF(B28&lt;&gt;"",AND(P28="x",I28="Người dân tộc thiểu số"),"")</f>
        <v/>
      </c>
      <c r="AK28" s="401">
        <f>IF(B28&lt;&gt;"",AND(P28="x",MENU!$E$5-'Thông tin hoc sinh'!C28&lt;31),"")</f>
        <v/>
      </c>
      <c r="AL28" s="399">
        <f>IF(B28&lt;&gt;"",AND(P28="x",R28,S28),"")</f>
        <v/>
      </c>
      <c r="AM28" s="399">
        <f>IF(B28&lt;&gt;"",AND(H28&gt;=9,P28="x"),"")</f>
        <v/>
      </c>
      <c r="AN28" s="399">
        <f>IF(B28&lt;&gt;"",AND(P28="x",X28,D28="Nữ"),"")</f>
        <v/>
      </c>
      <c r="AO28" s="399">
        <f>IF(B28&lt;&gt;"",AND(P28="x",U28,R28),"")</f>
        <v/>
      </c>
      <c r="AP28" s="399">
        <f>IF(B28&lt;&gt;"",AND(P28="x",MENU!$E$5-'Thông tin hoc sinh'!C28&lt;26),"")</f>
        <v/>
      </c>
      <c r="AQ28" s="399">
        <f>IF(B28&lt;&gt;"",AND(P28="x",X28,D28="Nữ"),"")</f>
        <v/>
      </c>
      <c r="AR28" s="399">
        <f>IF(B28&lt;&gt;"",AND(P28="x",X28,R28),"")</f>
        <v/>
      </c>
      <c r="AS28" s="399">
        <f>IF(B28&lt;&gt;"",AND(P28="x",MENU!$E$5-'Thông tin hoc sinh'!C28&gt;=26,MENU!$E$5-'Thông tin hoc sinh'!C28&lt;=45),"")</f>
        <v/>
      </c>
      <c r="AT28" s="399">
        <f>IF(B28&lt;&gt;"",AND(P28="x",AA28,D28="Nữ"),"")</f>
        <v/>
      </c>
      <c r="AU28" s="399">
        <f>IF(B28&lt;&gt;"",AND(P28="x",AA28,R28),"")</f>
        <v/>
      </c>
      <c r="AV28" s="399">
        <f>IF(B28&lt;&gt;"",AND(P28="x",MENU!$E$5-'Thông tin hoc sinh'!C28&gt;45),"")</f>
        <v/>
      </c>
      <c r="AW28" s="399">
        <f>IF(B28&lt;&gt;"",AND(P28="x",AD28,D28="Nữ"),"")</f>
        <v/>
      </c>
      <c r="AX28" s="399">
        <f>IF(B28&lt;&gt;"",AND(P28="x",AD28,R28),"")</f>
        <v/>
      </c>
    </row>
    <row r="29" ht="18.75" customFormat="1" customHeight="1" s="389">
      <c r="A29" s="390" t="inlineStr">
        <is>
          <t>27</t>
        </is>
      </c>
      <c r="B29" s="391" t="inlineStr">
        <is>
          <t>A Linh</t>
        </is>
      </c>
      <c r="C29" s="392" t="n">
        <v>1992</v>
      </c>
      <c r="D29" s="393" t="inlineStr">
        <is>
          <t>Nam</t>
        </is>
      </c>
      <c r="E29" s="394" t="inlineStr">
        <is>
          <t>Xê Đăng</t>
        </is>
      </c>
      <c r="F29" s="395">
        <f>IF(YEAR(TODAY())-C29&lt;=30,"X","")</f>
        <v/>
      </c>
      <c r="G29" s="395">
        <f>IF(AND(F29="X",E29&lt;&gt;"Kinh"),"X","")</f>
        <v/>
      </c>
      <c r="H29" s="396" t="n">
        <v>11</v>
      </c>
      <c r="I29" s="397" t="inlineStr">
        <is>
          <t>Người dân tộc thiểu số</t>
        </is>
      </c>
      <c r="J29" s="395">
        <f>VLOOKUP(I29,IDs!$B$37:$C$46,2,0)</f>
        <v/>
      </c>
      <c r="K29" s="397" t="inlineStr">
        <is>
          <t>Kon Đào, ĐăkTô, Kon Tum</t>
        </is>
      </c>
      <c r="L29" s="398" t="inlineStr">
        <is>
          <t>Tu Mơ Rông, Kon Tum</t>
        </is>
      </c>
      <c r="M29" s="398" t="inlineStr">
        <is>
          <t>Đăk Tăng, Ngọk Tụ, Đăk Tô, Kon Tum</t>
        </is>
      </c>
      <c r="N29" s="399">
        <f>IF(C29="","",IF(YEAR(TODAY())-C29&lt;15,"Không đủ tuổi theo học",IF(AND(D29="Nam",YEAR(TODAY())-C29&gt;60),"Quá tuổi theo học",IF(AND(D29="Nữ",YEAR(TODAY())-C29&gt;55),"Quá tuổi theo học","Đảm bảo"))))</f>
        <v/>
      </c>
      <c r="O29" s="399">
        <f>IF(B29="","",IF(OR(LEFT(B29,1)="Y",LEFT(B29,1)="A"),"",IF(I29&lt;&gt;"Đối tượng lao động nông thôn khác","Cần hồ sơ chứng minh nhóm đối tượng","")))</f>
        <v/>
      </c>
      <c r="P29" s="400" t="inlineStr">
        <is>
          <t>x</t>
        </is>
      </c>
      <c r="Q29" s="399">
        <f>IF(B29&lt;&gt;"",AND(D29="Nữ",I29="Người dân tộc thiểu số"),"")</f>
        <v/>
      </c>
      <c r="R29" s="399">
        <f>IF(B29&lt;&gt;"",I29="Người dân tộc thiểu số","")</f>
        <v/>
      </c>
      <c r="S29" s="401">
        <f>IF(B29&lt;&gt;"",MENU!$E$5-'Thông tin hoc sinh'!C29&lt;31,"")</f>
        <v/>
      </c>
      <c r="T29" s="399">
        <f>IF(B29&lt;&gt;"",AND(R29,S29),"")</f>
        <v/>
      </c>
      <c r="U29" s="399">
        <f>IF(B29&lt;&gt;"",(H29&gt;=9),"")</f>
        <v/>
      </c>
      <c r="V29" s="399">
        <f>IF(B29&lt;&gt;"",AND(U29,D29="Nữ"),"")</f>
        <v/>
      </c>
      <c r="W29" s="399">
        <f>IF(B29&lt;&gt;"",AND(U29,R29),"")</f>
        <v/>
      </c>
      <c r="X29" s="399">
        <f>IF(B29&lt;&gt;"",MENU!$E$5-'Thông tin hoc sinh'!C29&lt;26,"")</f>
        <v/>
      </c>
      <c r="Y29" s="399">
        <f>IF(B29&lt;&gt;"",AND(X29,D29="Nữ"),"")</f>
        <v/>
      </c>
      <c r="Z29" s="399">
        <f>IF(B29&lt;&gt;"",AND(X29,R29),"")</f>
        <v/>
      </c>
      <c r="AA29" s="399">
        <f>IF(B29&lt;&gt;"",AND(MENU!$E$5-'Thông tin hoc sinh'!C29&gt;=26,MENU!$E$5-'Thông tin hoc sinh'!C29&lt;=45),"")</f>
        <v/>
      </c>
      <c r="AB29" s="399">
        <f>IF(B29&lt;&gt;"",AND(AA29,D29="Nữ"),"")</f>
        <v/>
      </c>
      <c r="AC29" s="399">
        <f>IF(B29&lt;&gt;"",AND(AA29,R29),"")</f>
        <v/>
      </c>
      <c r="AD29" s="399">
        <f>IF(B29&lt;&gt;"",MENU!$E$5-'Thông tin hoc sinh'!C29&gt;45,"")</f>
        <v/>
      </c>
      <c r="AE29" s="399">
        <f>IF(B29&lt;&gt;"",AND(AD29,D29="Nữ"),"")</f>
        <v/>
      </c>
      <c r="AF29" s="399">
        <f>IF(B29&lt;&gt;"",AND(AD29,R29),"")</f>
        <v/>
      </c>
      <c r="AG29" s="399">
        <f>IF(P29&lt;&gt;"",J29,"")</f>
        <v/>
      </c>
      <c r="AH29" s="399">
        <f>IF(B29&lt;&gt;"",AND(P29="x",D29="Nữ"),"")</f>
        <v/>
      </c>
      <c r="AI29" s="399">
        <f>IF(B29&lt;&gt;"",AND(P29="x",D29="Nữ",I29="Người dân tộc thiểu số"),"")</f>
        <v/>
      </c>
      <c r="AJ29" s="399">
        <f>IF(B29&lt;&gt;"",AND(P29="x",I29="Người dân tộc thiểu số"),"")</f>
        <v/>
      </c>
      <c r="AK29" s="401">
        <f>IF(B29&lt;&gt;"",AND(P29="x",MENU!$E$5-'Thông tin hoc sinh'!C29&lt;31),"")</f>
        <v/>
      </c>
      <c r="AL29" s="399">
        <f>IF(B29&lt;&gt;"",AND(P29="x",R29,S29),"")</f>
        <v/>
      </c>
      <c r="AM29" s="399">
        <f>IF(B29&lt;&gt;"",AND(H29&gt;=9,P29="x"),"")</f>
        <v/>
      </c>
      <c r="AN29" s="399">
        <f>IF(B29&lt;&gt;"",AND(P29="x",X29,D29="Nữ"),"")</f>
        <v/>
      </c>
      <c r="AO29" s="399">
        <f>IF(B29&lt;&gt;"",AND(P29="x",U29,R29),"")</f>
        <v/>
      </c>
      <c r="AP29" s="399">
        <f>IF(B29&lt;&gt;"",AND(P29="x",MENU!$E$5-'Thông tin hoc sinh'!C29&lt;26),"")</f>
        <v/>
      </c>
      <c r="AQ29" s="399">
        <f>IF(B29&lt;&gt;"",AND(P29="x",X29,D29="Nữ"),"")</f>
        <v/>
      </c>
      <c r="AR29" s="399">
        <f>IF(B29&lt;&gt;"",AND(P29="x",X29,R29),"")</f>
        <v/>
      </c>
      <c r="AS29" s="399">
        <f>IF(B29&lt;&gt;"",AND(P29="x",MENU!$E$5-'Thông tin hoc sinh'!C29&gt;=26,MENU!$E$5-'Thông tin hoc sinh'!C29&lt;=45),"")</f>
        <v/>
      </c>
      <c r="AT29" s="399">
        <f>IF(B29&lt;&gt;"",AND(P29="x",AA29,D29="Nữ"),"")</f>
        <v/>
      </c>
      <c r="AU29" s="399">
        <f>IF(B29&lt;&gt;"",AND(P29="x",AA29,R29),"")</f>
        <v/>
      </c>
      <c r="AV29" s="399">
        <f>IF(B29&lt;&gt;"",AND(P29="x",MENU!$E$5-'Thông tin hoc sinh'!C29&gt;45),"")</f>
        <v/>
      </c>
      <c r="AW29" s="399">
        <f>IF(B29&lt;&gt;"",AND(P29="x",AD29,D29="Nữ"),"")</f>
        <v/>
      </c>
      <c r="AX29" s="399">
        <f>IF(B29&lt;&gt;"",AND(P29="x",AD29,R29),"")</f>
        <v/>
      </c>
    </row>
    <row r="30" ht="18.75" customFormat="1" customHeight="1" s="389">
      <c r="A30" s="390" t="inlineStr">
        <is>
          <t>28</t>
        </is>
      </c>
      <c r="B30" s="391" t="inlineStr">
        <is>
          <t>A Quân</t>
        </is>
      </c>
      <c r="C30" s="392" t="n">
        <v>1986</v>
      </c>
      <c r="D30" s="393" t="inlineStr">
        <is>
          <t>Nam</t>
        </is>
      </c>
      <c r="E30" s="394" t="inlineStr">
        <is>
          <t>Xê Đăng</t>
        </is>
      </c>
      <c r="F30" s="395">
        <f>IF(YEAR(TODAY())-C30&lt;=30,"X","")</f>
        <v/>
      </c>
      <c r="G30" s="395">
        <f>IF(AND(F30="X",E30&lt;&gt;"Kinh"),"X","")</f>
        <v/>
      </c>
      <c r="H30" s="396" t="n">
        <v>9</v>
      </c>
      <c r="I30" s="397" t="inlineStr">
        <is>
          <t>Người dân tộc thiểu số</t>
        </is>
      </c>
      <c r="J30" s="395">
        <f>VLOOKUP(I30,IDs!$B$37:$C$46,2,0)</f>
        <v/>
      </c>
      <c r="K30" s="397" t="inlineStr">
        <is>
          <t>Kon Đào, ĐăkTô, Kon Tum</t>
        </is>
      </c>
      <c r="L30" s="398" t="inlineStr">
        <is>
          <t>Tu Mơ Rông, Kon Tum</t>
        </is>
      </c>
      <c r="M30" s="398" t="inlineStr">
        <is>
          <t>Đăk Tăng, Ngọk Tụ, Đăk Tô, Kon Tum</t>
        </is>
      </c>
      <c r="N30" s="399">
        <f>IF(C30="","",IF(YEAR(TODAY())-C30&lt;15,"Không đủ tuổi theo học",IF(AND(D30="Nam",YEAR(TODAY())-C30&gt;60),"Quá tuổi theo học",IF(AND(D30="Nữ",YEAR(TODAY())-C30&gt;55),"Quá tuổi theo học","Đảm bảo"))))</f>
        <v/>
      </c>
      <c r="O30" s="399">
        <f>IF(B30="","",IF(OR(LEFT(B30,1)="Y",LEFT(B30,1)="A"),"",IF(I30&lt;&gt;"Đối tượng lao động nông thôn khác","Cần hồ sơ chứng minh nhóm đối tượng","")))</f>
        <v/>
      </c>
      <c r="P30" s="400" t="inlineStr">
        <is>
          <t>x</t>
        </is>
      </c>
      <c r="Q30" s="399">
        <f>IF(B30&lt;&gt;"",AND(D30="Nữ",I30="Người dân tộc thiểu số"),"")</f>
        <v/>
      </c>
      <c r="R30" s="399">
        <f>IF(B30&lt;&gt;"",I30="Người dân tộc thiểu số","")</f>
        <v/>
      </c>
      <c r="S30" s="401">
        <f>IF(B30&lt;&gt;"",MENU!$E$5-'Thông tin hoc sinh'!C30&lt;31,"")</f>
        <v/>
      </c>
      <c r="T30" s="399">
        <f>IF(B30&lt;&gt;"",AND(R30,S30),"")</f>
        <v/>
      </c>
      <c r="U30" s="399">
        <f>IF(B30&lt;&gt;"",(H30&gt;=9),"")</f>
        <v/>
      </c>
      <c r="V30" s="399">
        <f>IF(B30&lt;&gt;"",AND(U30,D30="Nữ"),"")</f>
        <v/>
      </c>
      <c r="W30" s="399">
        <f>IF(B30&lt;&gt;"",AND(U30,R30),"")</f>
        <v/>
      </c>
      <c r="X30" s="399">
        <f>IF(B30&lt;&gt;"",MENU!$E$5-'Thông tin hoc sinh'!C30&lt;26,"")</f>
        <v/>
      </c>
      <c r="Y30" s="399">
        <f>IF(B30&lt;&gt;"",AND(X30,D30="Nữ"),"")</f>
        <v/>
      </c>
      <c r="Z30" s="399">
        <f>IF(B30&lt;&gt;"",AND(X30,R30),"")</f>
        <v/>
      </c>
      <c r="AA30" s="399">
        <f>IF(B30&lt;&gt;"",AND(MENU!$E$5-'Thông tin hoc sinh'!C30&gt;=26,MENU!$E$5-'Thông tin hoc sinh'!C30&lt;=45),"")</f>
        <v/>
      </c>
      <c r="AB30" s="399">
        <f>IF(B30&lt;&gt;"",AND(AA30,D30="Nữ"),"")</f>
        <v/>
      </c>
      <c r="AC30" s="399">
        <f>IF(B30&lt;&gt;"",AND(AA30,R30),"")</f>
        <v/>
      </c>
      <c r="AD30" s="399">
        <f>IF(B30&lt;&gt;"",MENU!$E$5-'Thông tin hoc sinh'!C30&gt;45,"")</f>
        <v/>
      </c>
      <c r="AE30" s="399">
        <f>IF(B30&lt;&gt;"",AND(AD30,D30="Nữ"),"")</f>
        <v/>
      </c>
      <c r="AF30" s="399">
        <f>IF(B30&lt;&gt;"",AND(AD30,R30),"")</f>
        <v/>
      </c>
      <c r="AG30" s="399">
        <f>IF(P30&lt;&gt;"",J30,"")</f>
        <v/>
      </c>
      <c r="AH30" s="399">
        <f>IF(B30&lt;&gt;"",AND(P30="x",D30="Nữ"),"")</f>
        <v/>
      </c>
      <c r="AI30" s="399">
        <f>IF(B30&lt;&gt;"",AND(P30="x",D30="Nữ",I30="Người dân tộc thiểu số"),"")</f>
        <v/>
      </c>
      <c r="AJ30" s="399">
        <f>IF(B30&lt;&gt;"",AND(P30="x",I30="Người dân tộc thiểu số"),"")</f>
        <v/>
      </c>
      <c r="AK30" s="401">
        <f>IF(B30&lt;&gt;"",AND(P30="x",MENU!$E$5-'Thông tin hoc sinh'!C30&lt;31),"")</f>
        <v/>
      </c>
      <c r="AL30" s="399">
        <f>IF(B30&lt;&gt;"",AND(P30="x",R30,S30),"")</f>
        <v/>
      </c>
      <c r="AM30" s="399">
        <f>IF(B30&lt;&gt;"",AND(H30&gt;=9,P30="x"),"")</f>
        <v/>
      </c>
      <c r="AN30" s="399">
        <f>IF(B30&lt;&gt;"",AND(P30="x",X30,D30="Nữ"),"")</f>
        <v/>
      </c>
      <c r="AO30" s="399">
        <f>IF(B30&lt;&gt;"",AND(P30="x",U30,R30),"")</f>
        <v/>
      </c>
      <c r="AP30" s="399">
        <f>IF(B30&lt;&gt;"",AND(P30="x",MENU!$E$5-'Thông tin hoc sinh'!C30&lt;26),"")</f>
        <v/>
      </c>
      <c r="AQ30" s="399">
        <f>IF(B30&lt;&gt;"",AND(P30="x",X30,D30="Nữ"),"")</f>
        <v/>
      </c>
      <c r="AR30" s="399">
        <f>IF(B30&lt;&gt;"",AND(P30="x",X30,R30),"")</f>
        <v/>
      </c>
      <c r="AS30" s="399">
        <f>IF(B30&lt;&gt;"",AND(P30="x",MENU!$E$5-'Thông tin hoc sinh'!C30&gt;=26,MENU!$E$5-'Thông tin hoc sinh'!C30&lt;=45),"")</f>
        <v/>
      </c>
      <c r="AT30" s="399">
        <f>IF(B30&lt;&gt;"",AND(P30="x",AA30,D30="Nữ"),"")</f>
        <v/>
      </c>
      <c r="AU30" s="399">
        <f>IF(B30&lt;&gt;"",AND(P30="x",AA30,R30),"")</f>
        <v/>
      </c>
      <c r="AV30" s="399">
        <f>IF(B30&lt;&gt;"",AND(P30="x",MENU!$E$5-'Thông tin hoc sinh'!C30&gt;45),"")</f>
        <v/>
      </c>
      <c r="AW30" s="399">
        <f>IF(B30&lt;&gt;"",AND(P30="x",AD30,D30="Nữ"),"")</f>
        <v/>
      </c>
      <c r="AX30" s="399">
        <f>IF(B30&lt;&gt;"",AND(P30="x",AD30,R30),"")</f>
        <v/>
      </c>
    </row>
    <row r="31" ht="18.75" customFormat="1" customHeight="1" s="389">
      <c r="A31" s="390" t="inlineStr">
        <is>
          <t>29</t>
        </is>
      </c>
      <c r="B31" s="391" t="inlineStr">
        <is>
          <t>Đào Quang Kiên</t>
        </is>
      </c>
      <c r="C31" s="392" t="n">
        <v>1993</v>
      </c>
      <c r="D31" s="393" t="inlineStr">
        <is>
          <t>Nam</t>
        </is>
      </c>
      <c r="E31" s="394" t="inlineStr">
        <is>
          <t>Kinh</t>
        </is>
      </c>
      <c r="F31" s="395">
        <f>IF(YEAR(TODAY())-C31&lt;=30,"X","")</f>
        <v/>
      </c>
      <c r="G31" s="395">
        <f>IF(AND(F31="X",E31&lt;&gt;"Kinh"),"X","")</f>
        <v/>
      </c>
      <c r="H31" s="396" t="n">
        <v>12</v>
      </c>
      <c r="I31" s="397" t="inlineStr">
        <is>
          <t>Đối tượng lao động nông thôn khác</t>
        </is>
      </c>
      <c r="J31" s="395">
        <f>VLOOKUP(I31,IDs!$B$37:$C$46,2,0)</f>
        <v/>
      </c>
      <c r="K31" s="397" t="inlineStr">
        <is>
          <t>Kon Đào, ĐăkTô, Kon Tum</t>
        </is>
      </c>
      <c r="L31" s="398" t="inlineStr">
        <is>
          <t>Yên Thành, Nghệ An</t>
        </is>
      </c>
      <c r="M31" s="398" t="inlineStr">
        <is>
          <t>Đăk Tăng, Ngọk Tụ, Đăk Tô, Kon Tum</t>
        </is>
      </c>
      <c r="N31" s="399">
        <f>IF(C31="","",IF(YEAR(TODAY())-C31&lt;15,"Không đủ tuổi theo học",IF(AND(D31="Nam",YEAR(TODAY())-C31&gt;60),"Quá tuổi theo học",IF(AND(D31="Nữ",YEAR(TODAY())-C31&gt;55),"Quá tuổi theo học","Đảm bảo"))))</f>
        <v/>
      </c>
      <c r="O31" s="399">
        <f>IF(B31="","",IF(OR(LEFT(B31,1)="Y",LEFT(B31,1)="A"),"",IF(I31&lt;&gt;"Đối tượng lao động nông thôn khác","Cần hồ sơ chứng minh nhóm đối tượng","")))</f>
        <v/>
      </c>
      <c r="P31" s="400" t="inlineStr">
        <is>
          <t>x</t>
        </is>
      </c>
      <c r="Q31" s="399">
        <f>IF(B31&lt;&gt;"",AND(D31="Nữ",I31="Người dân tộc thiểu số"),"")</f>
        <v/>
      </c>
      <c r="R31" s="399">
        <f>IF(B31&lt;&gt;"",I31="Người dân tộc thiểu số","")</f>
        <v/>
      </c>
      <c r="S31" s="401">
        <f>IF(B31&lt;&gt;"",MENU!$E$5-'Thông tin hoc sinh'!C31&lt;31,"")</f>
        <v/>
      </c>
      <c r="T31" s="399">
        <f>IF(B31&lt;&gt;"",AND(R31,S31),"")</f>
        <v/>
      </c>
      <c r="U31" s="399">
        <f>IF(B31&lt;&gt;"",(H31&gt;=9),"")</f>
        <v/>
      </c>
      <c r="V31" s="399">
        <f>IF(B31&lt;&gt;"",AND(U31,D31="Nữ"),"")</f>
        <v/>
      </c>
      <c r="W31" s="399">
        <f>IF(B31&lt;&gt;"",AND(U31,R31),"")</f>
        <v/>
      </c>
      <c r="X31" s="399">
        <f>IF(B31&lt;&gt;"",MENU!$E$5-'Thông tin hoc sinh'!C31&lt;26,"")</f>
        <v/>
      </c>
      <c r="Y31" s="399">
        <f>IF(B31&lt;&gt;"",AND(X31,D31="Nữ"),"")</f>
        <v/>
      </c>
      <c r="Z31" s="399">
        <f>IF(B31&lt;&gt;"",AND(X31,R31),"")</f>
        <v/>
      </c>
      <c r="AA31" s="399">
        <f>IF(B31&lt;&gt;"",AND(MENU!$E$5-'Thông tin hoc sinh'!C31&gt;=26,MENU!$E$5-'Thông tin hoc sinh'!C31&lt;=45),"")</f>
        <v/>
      </c>
      <c r="AB31" s="399">
        <f>IF(B31&lt;&gt;"",AND(AA31,D31="Nữ"),"")</f>
        <v/>
      </c>
      <c r="AC31" s="399">
        <f>IF(B31&lt;&gt;"",AND(AA31,R31),"")</f>
        <v/>
      </c>
      <c r="AD31" s="399">
        <f>IF(B31&lt;&gt;"",MENU!$E$5-'Thông tin hoc sinh'!C31&gt;45,"")</f>
        <v/>
      </c>
      <c r="AE31" s="399">
        <f>IF(B31&lt;&gt;"",AND(AD31,D31="Nữ"),"")</f>
        <v/>
      </c>
      <c r="AF31" s="399">
        <f>IF(B31&lt;&gt;"",AND(AD31,R31),"")</f>
        <v/>
      </c>
      <c r="AG31" s="399">
        <f>IF(P31&lt;&gt;"",J31,"")</f>
        <v/>
      </c>
      <c r="AH31" s="399">
        <f>IF(B31&lt;&gt;"",AND(P31="x",D31="Nữ"),"")</f>
        <v/>
      </c>
      <c r="AI31" s="399">
        <f>IF(B31&lt;&gt;"",AND(P31="x",D31="Nữ",I31="Người dân tộc thiểu số"),"")</f>
        <v/>
      </c>
      <c r="AJ31" s="399">
        <f>IF(B31&lt;&gt;"",AND(P31="x",I31="Người dân tộc thiểu số"),"")</f>
        <v/>
      </c>
      <c r="AK31" s="401">
        <f>IF(B31&lt;&gt;"",AND(P31="x",MENU!$E$5-'Thông tin hoc sinh'!C31&lt;31),"")</f>
        <v/>
      </c>
      <c r="AL31" s="399">
        <f>IF(B31&lt;&gt;"",AND(P31="x",R31,S31),"")</f>
        <v/>
      </c>
      <c r="AM31" s="399">
        <f>IF(B31&lt;&gt;"",AND(H31&gt;=9,P31="x"),"")</f>
        <v/>
      </c>
      <c r="AN31" s="399">
        <f>IF(B31&lt;&gt;"",AND(P31="x",X31,D31="Nữ"),"")</f>
        <v/>
      </c>
      <c r="AO31" s="399">
        <f>IF(B31&lt;&gt;"",AND(P31="x",U31,R31),"")</f>
        <v/>
      </c>
      <c r="AP31" s="399">
        <f>IF(B31&lt;&gt;"",AND(P31="x",MENU!$E$5-'Thông tin hoc sinh'!C31&lt;26),"")</f>
        <v/>
      </c>
      <c r="AQ31" s="399">
        <f>IF(B31&lt;&gt;"",AND(P31="x",X31,D31="Nữ"),"")</f>
        <v/>
      </c>
      <c r="AR31" s="399">
        <f>IF(B31&lt;&gt;"",AND(P31="x",X31,R31),"")</f>
        <v/>
      </c>
      <c r="AS31" s="399">
        <f>IF(B31&lt;&gt;"",AND(P31="x",MENU!$E$5-'Thông tin hoc sinh'!C31&gt;=26,MENU!$E$5-'Thông tin hoc sinh'!C31&lt;=45),"")</f>
        <v/>
      </c>
      <c r="AT31" s="399">
        <f>IF(B31&lt;&gt;"",AND(P31="x",AA31,D31="Nữ"),"")</f>
        <v/>
      </c>
      <c r="AU31" s="399">
        <f>IF(B31&lt;&gt;"",AND(P31="x",AA31,R31),"")</f>
        <v/>
      </c>
      <c r="AV31" s="399">
        <f>IF(B31&lt;&gt;"",AND(P31="x",MENU!$E$5-'Thông tin hoc sinh'!C31&gt;45),"")</f>
        <v/>
      </c>
      <c r="AW31" s="399">
        <f>IF(B31&lt;&gt;"",AND(P31="x",AD31,D31="Nữ"),"")</f>
        <v/>
      </c>
      <c r="AX31" s="399">
        <f>IF(B31&lt;&gt;"",AND(P31="x",AD31,R31),"")</f>
        <v/>
      </c>
    </row>
    <row r="32" ht="18.75" customFormat="1" customHeight="1" s="389">
      <c r="A32" s="390" t="inlineStr">
        <is>
          <t>30</t>
        </is>
      </c>
      <c r="B32" s="391" t="inlineStr">
        <is>
          <t>Y Lợi</t>
        </is>
      </c>
      <c r="C32" s="392" t="n">
        <v>1996</v>
      </c>
      <c r="D32" s="393" t="inlineStr">
        <is>
          <t>Nữ</t>
        </is>
      </c>
      <c r="E32" s="394" t="inlineStr">
        <is>
          <t>Xê Đăng</t>
        </is>
      </c>
      <c r="F32" s="395">
        <f>IF(YEAR(TODAY())-C32&lt;=30,"X","")</f>
        <v/>
      </c>
      <c r="G32" s="395">
        <f>IF(AND(F32="X",E32&lt;&gt;"Kinh"),"X","")</f>
        <v/>
      </c>
      <c r="H32" s="396" t="n">
        <v>11</v>
      </c>
      <c r="I32" s="397" t="inlineStr">
        <is>
          <t>Người dân tộc thiểu số</t>
        </is>
      </c>
      <c r="J32" s="395">
        <f>VLOOKUP(I32,IDs!$B$37:$C$46,2,0)</f>
        <v/>
      </c>
      <c r="K32" s="397" t="inlineStr">
        <is>
          <t>Kon Đào, ĐăkTô, Kon Tum</t>
        </is>
      </c>
      <c r="L32" s="398" t="inlineStr">
        <is>
          <t>Đăk Tô, Kon Tum</t>
        </is>
      </c>
      <c r="M32" s="398" t="inlineStr">
        <is>
          <t>Kon Pring, Ngọk Tụ, Đăk Tô, Kon Tum</t>
        </is>
      </c>
      <c r="N32" s="399">
        <f>IF(C32="","",IF(YEAR(TODAY())-C32&lt;15,"Không đủ tuổi theo học",IF(AND(D32="Nam",YEAR(TODAY())-C32&gt;60),"Quá tuổi theo học",IF(AND(D32="Nữ",YEAR(TODAY())-C32&gt;55),"Quá tuổi theo học","Đảm bảo"))))</f>
        <v/>
      </c>
      <c r="O32" s="399">
        <f>IF(B32="","",IF(OR(LEFT(B32,1)="Y",LEFT(B32,1)="A"),"",IF(I32&lt;&gt;"Đối tượng lao động nông thôn khác","Cần hồ sơ chứng minh nhóm đối tượng","")))</f>
        <v/>
      </c>
      <c r="P32" s="400" t="inlineStr">
        <is>
          <t>x</t>
        </is>
      </c>
      <c r="Q32" s="399">
        <f>IF(B32&lt;&gt;"",AND(D32="Nữ",I32="Người dân tộc thiểu số"),"")</f>
        <v/>
      </c>
      <c r="R32" s="399">
        <f>IF(B32&lt;&gt;"",I32="Người dân tộc thiểu số","")</f>
        <v/>
      </c>
      <c r="S32" s="401">
        <f>IF(B32&lt;&gt;"",MENU!$E$5-'Thông tin hoc sinh'!C32&lt;31,"")</f>
        <v/>
      </c>
      <c r="T32" s="399">
        <f>IF(B32&lt;&gt;"",AND(R32,S32),"")</f>
        <v/>
      </c>
      <c r="U32" s="399">
        <f>IF(B32&lt;&gt;"",(H32&gt;=9),"")</f>
        <v/>
      </c>
      <c r="V32" s="399">
        <f>IF(B32&lt;&gt;"",AND(U32,D32="Nữ"),"")</f>
        <v/>
      </c>
      <c r="W32" s="399">
        <f>IF(B32&lt;&gt;"",AND(U32,R32),"")</f>
        <v/>
      </c>
      <c r="X32" s="399">
        <f>IF(B32&lt;&gt;"",MENU!$E$5-'Thông tin hoc sinh'!C32&lt;26,"")</f>
        <v/>
      </c>
      <c r="Y32" s="399">
        <f>IF(B32&lt;&gt;"",AND(X32,D32="Nữ"),"")</f>
        <v/>
      </c>
      <c r="Z32" s="399">
        <f>IF(B32&lt;&gt;"",AND(X32,R32),"")</f>
        <v/>
      </c>
      <c r="AA32" s="399">
        <f>IF(B32&lt;&gt;"",AND(MENU!$E$5-'Thông tin hoc sinh'!C32&gt;=26,MENU!$E$5-'Thông tin hoc sinh'!C32&lt;=45),"")</f>
        <v/>
      </c>
      <c r="AB32" s="399">
        <f>IF(B32&lt;&gt;"",AND(AA32,D32="Nữ"),"")</f>
        <v/>
      </c>
      <c r="AC32" s="399">
        <f>IF(B32&lt;&gt;"",AND(AA32,R32),"")</f>
        <v/>
      </c>
      <c r="AD32" s="399">
        <f>IF(B32&lt;&gt;"",MENU!$E$5-'Thông tin hoc sinh'!C32&gt;45,"")</f>
        <v/>
      </c>
      <c r="AE32" s="399">
        <f>IF(B32&lt;&gt;"",AND(AD32,D32="Nữ"),"")</f>
        <v/>
      </c>
      <c r="AF32" s="399">
        <f>IF(B32&lt;&gt;"",AND(AD32,R32),"")</f>
        <v/>
      </c>
      <c r="AG32" s="399">
        <f>IF(P32&lt;&gt;"",J32,"")</f>
        <v/>
      </c>
      <c r="AH32" s="399">
        <f>IF(B32&lt;&gt;"",AND(P32="x",D32="Nữ"),"")</f>
        <v/>
      </c>
      <c r="AI32" s="399">
        <f>IF(B32&lt;&gt;"",AND(P32="x",D32="Nữ",I32="Người dân tộc thiểu số"),"")</f>
        <v/>
      </c>
      <c r="AJ32" s="399">
        <f>IF(B32&lt;&gt;"",AND(P32="x",I32="Người dân tộc thiểu số"),"")</f>
        <v/>
      </c>
      <c r="AK32" s="401">
        <f>IF(B32&lt;&gt;"",AND(P32="x",MENU!$E$5-'Thông tin hoc sinh'!C32&lt;31),"")</f>
        <v/>
      </c>
      <c r="AL32" s="399">
        <f>IF(B32&lt;&gt;"",AND(P32="x",R32,S32),"")</f>
        <v/>
      </c>
      <c r="AM32" s="399">
        <f>IF(B32&lt;&gt;"",AND(H32&gt;=9,P32="x"),"")</f>
        <v/>
      </c>
      <c r="AN32" s="399">
        <f>IF(B32&lt;&gt;"",AND(P32="x",X32,D32="Nữ"),"")</f>
        <v/>
      </c>
      <c r="AO32" s="399">
        <f>IF(B32&lt;&gt;"",AND(P32="x",U32,R32),"")</f>
        <v/>
      </c>
      <c r="AP32" s="399">
        <f>IF(B32&lt;&gt;"",AND(P32="x",MENU!$E$5-'Thông tin hoc sinh'!C32&lt;26),"")</f>
        <v/>
      </c>
      <c r="AQ32" s="399">
        <f>IF(B32&lt;&gt;"",AND(P32="x",X32,D32="Nữ"),"")</f>
        <v/>
      </c>
      <c r="AR32" s="399">
        <f>IF(B32&lt;&gt;"",AND(P32="x",X32,R32),"")</f>
        <v/>
      </c>
      <c r="AS32" s="399">
        <f>IF(B32&lt;&gt;"",AND(P32="x",MENU!$E$5-'Thông tin hoc sinh'!C32&gt;=26,MENU!$E$5-'Thông tin hoc sinh'!C32&lt;=45),"")</f>
        <v/>
      </c>
      <c r="AT32" s="399">
        <f>IF(B32&lt;&gt;"",AND(P32="x",AA32,D32="Nữ"),"")</f>
        <v/>
      </c>
      <c r="AU32" s="399">
        <f>IF(B32&lt;&gt;"",AND(P32="x",AA32,R32),"")</f>
        <v/>
      </c>
      <c r="AV32" s="399">
        <f>IF(B32&lt;&gt;"",AND(P32="x",MENU!$E$5-'Thông tin hoc sinh'!C32&gt;45),"")</f>
        <v/>
      </c>
      <c r="AW32" s="399">
        <f>IF(B32&lt;&gt;"",AND(P32="x",AD32,D32="Nữ"),"")</f>
        <v/>
      </c>
      <c r="AX32" s="399">
        <f>IF(B32&lt;&gt;"",AND(P32="x",AD32,R32),"")</f>
        <v/>
      </c>
    </row>
    <row r="33" ht="18.75" customFormat="1" customHeight="1" s="389">
      <c r="A33" s="390" t="inlineStr">
        <is>
          <t>31</t>
        </is>
      </c>
      <c r="B33" s="391" t="inlineStr">
        <is>
          <t>A Thuận</t>
        </is>
      </c>
      <c r="C33" s="392" t="n">
        <v>2002</v>
      </c>
      <c r="D33" s="393" t="inlineStr">
        <is>
          <t>Nam</t>
        </is>
      </c>
      <c r="E33" s="394" t="inlineStr">
        <is>
          <t>Xê Đăng</t>
        </is>
      </c>
      <c r="F33" s="395">
        <f>IF(YEAR(TODAY())-C33&lt;=30,"X","")</f>
        <v/>
      </c>
      <c r="G33" s="395">
        <f>IF(AND(F33="X",E33&lt;&gt;"Kinh"),"X","")</f>
        <v/>
      </c>
      <c r="H33" s="396" t="n">
        <v>9</v>
      </c>
      <c r="I33" s="397" t="inlineStr">
        <is>
          <t>Người dân tộc thiểu số</t>
        </is>
      </c>
      <c r="J33" s="395">
        <f>VLOOKUP(I33,IDs!$B$37:$C$46,2,0)</f>
        <v/>
      </c>
      <c r="K33" s="397" t="inlineStr">
        <is>
          <t>Kon Đào, ĐăkTô, Kon Tum</t>
        </is>
      </c>
      <c r="L33" s="398" t="inlineStr">
        <is>
          <t>Đăk Tô, Kon Tum</t>
        </is>
      </c>
      <c r="M33" s="398" t="inlineStr">
        <is>
          <t>Kon Pring, Ngọk Tụ, Đăk Tô, Kon Tum</t>
        </is>
      </c>
      <c r="N33" s="399">
        <f>IF(C33="","",IF(YEAR(TODAY())-C33&lt;15,"Không đủ tuổi theo học",IF(AND(D33="Nam",YEAR(TODAY())-C33&gt;60),"Quá tuổi theo học",IF(AND(D33="Nữ",YEAR(TODAY())-C33&gt;55),"Quá tuổi theo học","Đảm bảo"))))</f>
        <v/>
      </c>
      <c r="O33" s="399">
        <f>IF(B33="","",IF(OR(LEFT(B33,1)="Y",LEFT(B33,1)="A"),"",IF(I33&lt;&gt;"Đối tượng lao động nông thôn khác","Cần hồ sơ chứng minh nhóm đối tượng","")))</f>
        <v/>
      </c>
      <c r="P33" s="400" t="inlineStr">
        <is>
          <t>x</t>
        </is>
      </c>
      <c r="Q33" s="399">
        <f>IF(B33&lt;&gt;"",AND(D33="Nữ",I33="Người dân tộc thiểu số"),"")</f>
        <v/>
      </c>
      <c r="R33" s="399">
        <f>IF(B33&lt;&gt;"",I33="Người dân tộc thiểu số","")</f>
        <v/>
      </c>
      <c r="S33" s="401">
        <f>IF(B33&lt;&gt;"",MENU!$E$5-'Thông tin hoc sinh'!C33&lt;31,"")</f>
        <v/>
      </c>
      <c r="T33" s="399">
        <f>IF(B33&lt;&gt;"",AND(R33,S33),"")</f>
        <v/>
      </c>
      <c r="U33" s="399">
        <f>IF(B33&lt;&gt;"",(H33&gt;=9),"")</f>
        <v/>
      </c>
      <c r="V33" s="399">
        <f>IF(B33&lt;&gt;"",AND(U33,D33="Nữ"),"")</f>
        <v/>
      </c>
      <c r="W33" s="399">
        <f>IF(B33&lt;&gt;"",AND(U33,R33),"")</f>
        <v/>
      </c>
      <c r="X33" s="399">
        <f>IF(B33&lt;&gt;"",MENU!$E$5-'Thông tin hoc sinh'!C33&lt;26,"")</f>
        <v/>
      </c>
      <c r="Y33" s="399">
        <f>IF(B33&lt;&gt;"",AND(X33,D33="Nữ"),"")</f>
        <v/>
      </c>
      <c r="Z33" s="399">
        <f>IF(B33&lt;&gt;"",AND(X33,R33),"")</f>
        <v/>
      </c>
      <c r="AA33" s="399">
        <f>IF(B33&lt;&gt;"",AND(MENU!$E$5-'Thông tin hoc sinh'!C33&gt;=26,MENU!$E$5-'Thông tin hoc sinh'!C33&lt;=45),"")</f>
        <v/>
      </c>
      <c r="AB33" s="399">
        <f>IF(B33&lt;&gt;"",AND(AA33,D33="Nữ"),"")</f>
        <v/>
      </c>
      <c r="AC33" s="399">
        <f>IF(B33&lt;&gt;"",AND(AA33,R33),"")</f>
        <v/>
      </c>
      <c r="AD33" s="399">
        <f>IF(B33&lt;&gt;"",MENU!$E$5-'Thông tin hoc sinh'!C33&gt;45,"")</f>
        <v/>
      </c>
      <c r="AE33" s="399">
        <f>IF(B33&lt;&gt;"",AND(AD33,D33="Nữ"),"")</f>
        <v/>
      </c>
      <c r="AF33" s="399">
        <f>IF(B33&lt;&gt;"",AND(AD33,R33),"")</f>
        <v/>
      </c>
      <c r="AG33" s="399">
        <f>IF(P33&lt;&gt;"",J33,"")</f>
        <v/>
      </c>
      <c r="AH33" s="399">
        <f>IF(B33&lt;&gt;"",AND(P33="x",D33="Nữ"),"")</f>
        <v/>
      </c>
      <c r="AI33" s="399">
        <f>IF(B33&lt;&gt;"",AND(P33="x",D33="Nữ",I33="Người dân tộc thiểu số"),"")</f>
        <v/>
      </c>
      <c r="AJ33" s="399">
        <f>IF(B33&lt;&gt;"",AND(P33="x",I33="Người dân tộc thiểu số"),"")</f>
        <v/>
      </c>
      <c r="AK33" s="401">
        <f>IF(B33&lt;&gt;"",AND(P33="x",MENU!$E$5-'Thông tin hoc sinh'!C33&lt;31),"")</f>
        <v/>
      </c>
      <c r="AL33" s="399">
        <f>IF(B33&lt;&gt;"",AND(P33="x",R33,S33),"")</f>
        <v/>
      </c>
      <c r="AM33" s="399">
        <f>IF(B33&lt;&gt;"",AND(H33&gt;=9,P33="x"),"")</f>
        <v/>
      </c>
      <c r="AN33" s="399">
        <f>IF(B33&lt;&gt;"",AND(P33="x",X33,D33="Nữ"),"")</f>
        <v/>
      </c>
      <c r="AO33" s="399">
        <f>IF(B33&lt;&gt;"",AND(P33="x",U33,R33),"")</f>
        <v/>
      </c>
      <c r="AP33" s="399">
        <f>IF(B33&lt;&gt;"",AND(P33="x",MENU!$E$5-'Thông tin hoc sinh'!C33&lt;26),"")</f>
        <v/>
      </c>
      <c r="AQ33" s="399">
        <f>IF(B33&lt;&gt;"",AND(P33="x",X33,D33="Nữ"),"")</f>
        <v/>
      </c>
      <c r="AR33" s="399">
        <f>IF(B33&lt;&gt;"",AND(P33="x",X33,R33),"")</f>
        <v/>
      </c>
      <c r="AS33" s="399">
        <f>IF(B33&lt;&gt;"",AND(P33="x",MENU!$E$5-'Thông tin hoc sinh'!C33&gt;=26,MENU!$E$5-'Thông tin hoc sinh'!C33&lt;=45),"")</f>
        <v/>
      </c>
      <c r="AT33" s="399">
        <f>IF(B33&lt;&gt;"",AND(P33="x",AA33,D33="Nữ"),"")</f>
        <v/>
      </c>
      <c r="AU33" s="399">
        <f>IF(B33&lt;&gt;"",AND(P33="x",AA33,R33),"")</f>
        <v/>
      </c>
      <c r="AV33" s="399">
        <f>IF(B33&lt;&gt;"",AND(P33="x",MENU!$E$5-'Thông tin hoc sinh'!C33&gt;45),"")</f>
        <v/>
      </c>
      <c r="AW33" s="399">
        <f>IF(B33&lt;&gt;"",AND(P33="x",AD33,D33="Nữ"),"")</f>
        <v/>
      </c>
      <c r="AX33" s="399">
        <f>IF(B33&lt;&gt;"",AND(P33="x",AD33,R33),"")</f>
        <v/>
      </c>
    </row>
    <row r="34" ht="18.75" customFormat="1" customHeight="1" s="389">
      <c r="A34" s="390" t="inlineStr">
        <is>
          <t>32</t>
        </is>
      </c>
      <c r="B34" s="391" t="inlineStr">
        <is>
          <t>A Yêu</t>
        </is>
      </c>
      <c r="C34" s="392" t="n">
        <v>2001</v>
      </c>
      <c r="D34" s="393" t="inlineStr">
        <is>
          <t>Nam</t>
        </is>
      </c>
      <c r="E34" s="394" t="inlineStr">
        <is>
          <t>Xê Đăng</t>
        </is>
      </c>
      <c r="F34" s="395">
        <f>IF(YEAR(TODAY())-C34&lt;=30,"X","")</f>
        <v/>
      </c>
      <c r="G34" s="395">
        <f>IF(AND(F34="X",E34&lt;&gt;"Kinh"),"X","")</f>
        <v/>
      </c>
      <c r="H34" s="396" t="n">
        <v>10</v>
      </c>
      <c r="I34" s="397" t="inlineStr">
        <is>
          <t>Người dân tộc thiểu số</t>
        </is>
      </c>
      <c r="J34" s="395">
        <f>VLOOKUP(I34,IDs!$B$37:$C$46,2,0)</f>
        <v/>
      </c>
      <c r="K34" s="397" t="inlineStr">
        <is>
          <t>Kon Đào, ĐăkTô, Kon Tum</t>
        </is>
      </c>
      <c r="L34" s="398" t="inlineStr">
        <is>
          <t>Đăk Tô, Kon Tum</t>
        </is>
      </c>
      <c r="M34" s="398" t="inlineStr">
        <is>
          <t>Kon Pring, Ngọk Tụ, Đăk Tô, Kon Tum</t>
        </is>
      </c>
      <c r="N34" s="399">
        <f>IF(C34="","",IF(YEAR(TODAY())-C34&lt;15,"Không đủ tuổi theo học",IF(AND(D34="Nam",YEAR(TODAY())-C34&gt;60),"Quá tuổi theo học",IF(AND(D34="Nữ",YEAR(TODAY())-C34&gt;55),"Quá tuổi theo học","Đảm bảo"))))</f>
        <v/>
      </c>
      <c r="O34" s="399">
        <f>IF(B34="","",IF(OR(LEFT(B34,1)="Y",LEFT(B34,1)="A"),"",IF(I34&lt;&gt;"Đối tượng lao động nông thôn khác","Cần hồ sơ chứng minh nhóm đối tượng","")))</f>
        <v/>
      </c>
      <c r="P34" s="400" t="inlineStr">
        <is>
          <t>x</t>
        </is>
      </c>
      <c r="Q34" s="399">
        <f>IF(B34&lt;&gt;"",AND(D34="Nữ",I34="Người dân tộc thiểu số"),"")</f>
        <v/>
      </c>
      <c r="R34" s="399">
        <f>IF(B34&lt;&gt;"",I34="Người dân tộc thiểu số","")</f>
        <v/>
      </c>
      <c r="S34" s="401">
        <f>IF(B34&lt;&gt;"",MENU!$E$5-'Thông tin hoc sinh'!C34&lt;31,"")</f>
        <v/>
      </c>
      <c r="T34" s="399">
        <f>IF(B34&lt;&gt;"",AND(R34,S34),"")</f>
        <v/>
      </c>
      <c r="U34" s="399">
        <f>IF(B34&lt;&gt;"",(H34&gt;=9),"")</f>
        <v/>
      </c>
      <c r="V34" s="399">
        <f>IF(B34&lt;&gt;"",AND(U34,D34="Nữ"),"")</f>
        <v/>
      </c>
      <c r="W34" s="399">
        <f>IF(B34&lt;&gt;"",AND(U34,R34),"")</f>
        <v/>
      </c>
      <c r="X34" s="399">
        <f>IF(B34&lt;&gt;"",MENU!$E$5-'Thông tin hoc sinh'!C34&lt;26,"")</f>
        <v/>
      </c>
      <c r="Y34" s="399">
        <f>IF(B34&lt;&gt;"",AND(X34,D34="Nữ"),"")</f>
        <v/>
      </c>
      <c r="Z34" s="399">
        <f>IF(B34&lt;&gt;"",AND(X34,R34),"")</f>
        <v/>
      </c>
      <c r="AA34" s="399">
        <f>IF(B34&lt;&gt;"",AND(MENU!$E$5-'Thông tin hoc sinh'!C34&gt;=26,MENU!$E$5-'Thông tin hoc sinh'!C34&lt;=45),"")</f>
        <v/>
      </c>
      <c r="AB34" s="399">
        <f>IF(B34&lt;&gt;"",AND(AA34,D34="Nữ"),"")</f>
        <v/>
      </c>
      <c r="AC34" s="399">
        <f>IF(B34&lt;&gt;"",AND(AA34,R34),"")</f>
        <v/>
      </c>
      <c r="AD34" s="399">
        <f>IF(B34&lt;&gt;"",MENU!$E$5-'Thông tin hoc sinh'!C34&gt;45,"")</f>
        <v/>
      </c>
      <c r="AE34" s="399">
        <f>IF(B34&lt;&gt;"",AND(AD34,D34="Nữ"),"")</f>
        <v/>
      </c>
      <c r="AF34" s="399">
        <f>IF(B34&lt;&gt;"",AND(AD34,R34),"")</f>
        <v/>
      </c>
      <c r="AG34" s="399">
        <f>IF(P34&lt;&gt;"",J34,"")</f>
        <v/>
      </c>
      <c r="AH34" s="399">
        <f>IF(B34&lt;&gt;"",AND(P34="x",D34="Nữ"),"")</f>
        <v/>
      </c>
      <c r="AI34" s="399">
        <f>IF(B34&lt;&gt;"",AND(P34="x",D34="Nữ",I34="Người dân tộc thiểu số"),"")</f>
        <v/>
      </c>
      <c r="AJ34" s="399">
        <f>IF(B34&lt;&gt;"",AND(P34="x",I34="Người dân tộc thiểu số"),"")</f>
        <v/>
      </c>
      <c r="AK34" s="401">
        <f>IF(B34&lt;&gt;"",AND(P34="x",MENU!$E$5-'Thông tin hoc sinh'!C34&lt;31),"")</f>
        <v/>
      </c>
      <c r="AL34" s="399">
        <f>IF(B34&lt;&gt;"",AND(P34="x",R34,S34),"")</f>
        <v/>
      </c>
      <c r="AM34" s="399">
        <f>IF(B34&lt;&gt;"",AND(H34&gt;=9,P34="x"),"")</f>
        <v/>
      </c>
      <c r="AN34" s="399">
        <f>IF(B34&lt;&gt;"",AND(P34="x",X34,D34="Nữ"),"")</f>
        <v/>
      </c>
      <c r="AO34" s="399">
        <f>IF(B34&lt;&gt;"",AND(P34="x",U34,R34),"")</f>
        <v/>
      </c>
      <c r="AP34" s="399">
        <f>IF(B34&lt;&gt;"",AND(P34="x",MENU!$E$5-'Thông tin hoc sinh'!C34&lt;26),"")</f>
        <v/>
      </c>
      <c r="AQ34" s="399">
        <f>IF(B34&lt;&gt;"",AND(P34="x",X34,D34="Nữ"),"")</f>
        <v/>
      </c>
      <c r="AR34" s="399">
        <f>IF(B34&lt;&gt;"",AND(P34="x",X34,R34),"")</f>
        <v/>
      </c>
      <c r="AS34" s="399">
        <f>IF(B34&lt;&gt;"",AND(P34="x",MENU!$E$5-'Thông tin hoc sinh'!C34&gt;=26,MENU!$E$5-'Thông tin hoc sinh'!C34&lt;=45),"")</f>
        <v/>
      </c>
      <c r="AT34" s="399">
        <f>IF(B34&lt;&gt;"",AND(P34="x",AA34,D34="Nữ"),"")</f>
        <v/>
      </c>
      <c r="AU34" s="399">
        <f>IF(B34&lt;&gt;"",AND(P34="x",AA34,R34),"")</f>
        <v/>
      </c>
      <c r="AV34" s="399">
        <f>IF(B34&lt;&gt;"",AND(P34="x",MENU!$E$5-'Thông tin hoc sinh'!C34&gt;45),"")</f>
        <v/>
      </c>
      <c r="AW34" s="399">
        <f>IF(B34&lt;&gt;"",AND(P34="x",AD34,D34="Nữ"),"")</f>
        <v/>
      </c>
      <c r="AX34" s="399">
        <f>IF(B34&lt;&gt;"",AND(P34="x",AD34,R34),"")</f>
        <v/>
      </c>
    </row>
    <row r="35" ht="18.75" customFormat="1" customHeight="1" s="389">
      <c r="A35" s="390" t="inlineStr">
        <is>
          <t>33</t>
        </is>
      </c>
      <c r="B35" s="402" t="n"/>
      <c r="C35" s="400" t="n"/>
      <c r="D35" s="393" t="n"/>
      <c r="E35" s="393" t="n"/>
      <c r="F35" s="395">
        <f>IF(YEAR(TODAY())-C35&lt;=30,"X","")</f>
        <v/>
      </c>
      <c r="G35" s="395">
        <f>IF(AND(F35="X",E35&lt;&gt;"Kinh"),"X","")</f>
        <v/>
      </c>
      <c r="H35" s="393" t="n"/>
      <c r="I35" s="397" t="n"/>
      <c r="J35" s="395">
        <f>VLOOKUP(I35,IDs!$B$37:$C$46,2,0)</f>
        <v/>
      </c>
      <c r="K35" s="397" t="n"/>
      <c r="L35" s="397" t="n"/>
      <c r="M35" s="403" t="n"/>
      <c r="N35" s="399">
        <f>IF(C35="","",IF(YEAR(TODAY())-C35&lt;15,"Không đủ tuổi theo học",IF(AND(D35="Nam",YEAR(TODAY())-C35&gt;60),"Quá tuổi theo học",IF(AND(D35="Nữ",YEAR(TODAY())-C35&gt;55),"Quá tuổi theo học","Đảm bảo"))))</f>
        <v/>
      </c>
      <c r="O35" s="399">
        <f>IF(B35="","",IF(OR(LEFT(B35,1)="Y",LEFT(B35,1)="A"),"",IF(I35&lt;&gt;"Đối tượng lao động nông thôn khác","Cần hồ sơ chứng minh nhóm đối tượng","")))</f>
        <v/>
      </c>
      <c r="P35" s="400" t="n"/>
      <c r="Q35" s="399">
        <f>IF(B35&lt;&gt;"",AND(D35="Nữ",I35="Người dân tộc thiểu số"),"")</f>
        <v/>
      </c>
      <c r="R35" s="399">
        <f>IF(B35&lt;&gt;"",I35="Người dân tộc thiểu số","")</f>
        <v/>
      </c>
      <c r="S35" s="401">
        <f>IF(B35&lt;&gt;"",MENU!$E$5-'Thông tin hoc sinh'!C35&lt;31,"")</f>
        <v/>
      </c>
      <c r="T35" s="399">
        <f>IF(B35&lt;&gt;"",AND(R35,S35),"")</f>
        <v/>
      </c>
      <c r="U35" s="399">
        <f>IF(B35&lt;&gt;"",(H35&gt;=9),"")</f>
        <v/>
      </c>
      <c r="V35" s="399">
        <f>IF(B35&lt;&gt;"",AND(U35,D35="Nữ"),"")</f>
        <v/>
      </c>
      <c r="W35" s="399">
        <f>IF(B35&lt;&gt;"",AND(U35,R35),"")</f>
        <v/>
      </c>
      <c r="X35" s="399">
        <f>IF(B35&lt;&gt;"",MENU!$E$5-'Thông tin hoc sinh'!C35&lt;26,"")</f>
        <v/>
      </c>
      <c r="Y35" s="399">
        <f>IF(B35&lt;&gt;"",AND(X35,D35="Nữ"),"")</f>
        <v/>
      </c>
      <c r="Z35" s="399">
        <f>IF(B35&lt;&gt;"",AND(X35,R35),"")</f>
        <v/>
      </c>
      <c r="AA35" s="399">
        <f>IF(B35&lt;&gt;"",AND(MENU!$E$5-'Thông tin hoc sinh'!C35&gt;=26,MENU!$E$5-'Thông tin hoc sinh'!C35&lt;=45),"")</f>
        <v/>
      </c>
      <c r="AB35" s="399">
        <f>IF(B35&lt;&gt;"",AND(AA35,D35="Nữ"),"")</f>
        <v/>
      </c>
      <c r="AC35" s="399">
        <f>IF(B35&lt;&gt;"",AND(AA35,R35),"")</f>
        <v/>
      </c>
      <c r="AD35" s="399">
        <f>IF(B35&lt;&gt;"",MENU!$E$5-'Thông tin hoc sinh'!C35&gt;45,"")</f>
        <v/>
      </c>
      <c r="AE35" s="399">
        <f>IF(B35&lt;&gt;"",AND(AD35,D35="Nữ"),"")</f>
        <v/>
      </c>
      <c r="AF35" s="399">
        <f>IF(B35&lt;&gt;"",AND(AD35,R35),"")</f>
        <v/>
      </c>
      <c r="AG35" s="399">
        <f>IF(P35&lt;&gt;"",J35,"")</f>
        <v/>
      </c>
      <c r="AH35" s="399">
        <f>IF(B35&lt;&gt;"",AND(P35="x",D35="Nữ"),"")</f>
        <v/>
      </c>
      <c r="AI35" s="399">
        <f>IF(B35&lt;&gt;"",AND(P35="x",D35="Nữ",I35="Người dân tộc thiểu số"),"")</f>
        <v/>
      </c>
      <c r="AJ35" s="399">
        <f>IF(B35&lt;&gt;"",AND(P35="x",I35="Người dân tộc thiểu số"),"")</f>
        <v/>
      </c>
      <c r="AK35" s="401">
        <f>IF(B35&lt;&gt;"",AND(P35="x",MENU!$E$5-'Thông tin hoc sinh'!C35&lt;31),"")</f>
        <v/>
      </c>
      <c r="AL35" s="399">
        <f>IF(B35&lt;&gt;"",AND(P35="x",R35,S35),"")</f>
        <v/>
      </c>
      <c r="AM35" s="399">
        <f>IF(B35&lt;&gt;"",AND(H35&gt;=9,P35="x"),"")</f>
        <v/>
      </c>
      <c r="AN35" s="399">
        <f>IF(B35&lt;&gt;"",AND(P35="x",X35,D35="Nữ"),"")</f>
        <v/>
      </c>
      <c r="AO35" s="399">
        <f>IF(B35&lt;&gt;"",AND(P35="x",U35,R35),"")</f>
        <v/>
      </c>
      <c r="AP35" s="399">
        <f>IF(B35&lt;&gt;"",AND(P35="x",MENU!$E$5-'Thông tin hoc sinh'!C35&lt;26),"")</f>
        <v/>
      </c>
      <c r="AQ35" s="399">
        <f>IF(B35&lt;&gt;"",AND(P35="x",X35,D35="Nữ"),"")</f>
        <v/>
      </c>
      <c r="AR35" s="399">
        <f>IF(B35&lt;&gt;"",AND(P35="x",X35,R35),"")</f>
        <v/>
      </c>
      <c r="AS35" s="399">
        <f>IF(B35&lt;&gt;"",AND(P35="x",MENU!$E$5-'Thông tin hoc sinh'!C35&gt;=26,MENU!$E$5-'Thông tin hoc sinh'!C35&lt;=45),"")</f>
        <v/>
      </c>
      <c r="AT35" s="399">
        <f>IF(B35&lt;&gt;"",AND(P35="x",AA35,D35="Nữ"),"")</f>
        <v/>
      </c>
      <c r="AU35" s="399">
        <f>IF(B35&lt;&gt;"",AND(P35="x",AA35,R35),"")</f>
        <v/>
      </c>
      <c r="AV35" s="399">
        <f>IF(B35&lt;&gt;"",AND(P35="x",MENU!$E$5-'Thông tin hoc sinh'!C35&gt;45),"")</f>
        <v/>
      </c>
      <c r="AW35" s="399">
        <f>IF(B35&lt;&gt;"",AND(P35="x",AD35,D35="Nữ"),"")</f>
        <v/>
      </c>
      <c r="AX35" s="399">
        <f>IF(B35&lt;&gt;"",AND(P35="x",AD35,R35),"")</f>
        <v/>
      </c>
    </row>
    <row r="36" ht="18.75" customFormat="1" customHeight="1" s="389">
      <c r="A36" s="390" t="inlineStr">
        <is>
          <t>34</t>
        </is>
      </c>
      <c r="B36" s="402" t="n"/>
      <c r="C36" s="393" t="n"/>
      <c r="D36" s="393" t="n"/>
      <c r="E36" s="393" t="n"/>
      <c r="F36" s="395">
        <f>IF(YEAR(TODAY())-C36&lt;=30,"X","")</f>
        <v/>
      </c>
      <c r="G36" s="395">
        <f>IF(AND(F36="X",E36&lt;&gt;"Kinh"),"X","")</f>
        <v/>
      </c>
      <c r="H36" s="393" t="n"/>
      <c r="I36" s="397" t="n"/>
      <c r="J36" s="395">
        <f>VLOOKUP(I36,IDs!$B$37:$C$46,2,0)</f>
        <v/>
      </c>
      <c r="K36" s="397" t="n"/>
      <c r="L36" s="397" t="n"/>
      <c r="M36" s="403" t="n"/>
      <c r="N36" s="399">
        <f>IF(C36="","",IF(YEAR(TODAY())-C36&lt;15,"Không đủ tuổi theo học",IF(AND(D36="Nam",YEAR(TODAY())-C36&gt;60),"Quá tuổi theo học",IF(AND(D36="Nữ",YEAR(TODAY())-C36&gt;55),"Quá tuổi theo học","Đảm bảo"))))</f>
        <v/>
      </c>
      <c r="O36" s="399">
        <f>IF(B36="","",IF(OR(LEFT(B36,1)="Y",LEFT(B36,1)="A"),"",IF(I36&lt;&gt;"Đối tượng lao động nông thôn khác","Cần hồ sơ chứng minh nhóm đối tượng","")))</f>
        <v/>
      </c>
      <c r="P36" s="400" t="n"/>
      <c r="Q36" s="399">
        <f>IF(B36&lt;&gt;"",AND(D36="Nữ",I36="Người dân tộc thiểu số"),"")</f>
        <v/>
      </c>
      <c r="R36" s="399">
        <f>IF(B36&lt;&gt;"",I36="Người dân tộc thiểu số","")</f>
        <v/>
      </c>
      <c r="S36" s="401">
        <f>IF(B36&lt;&gt;"",MENU!$E$5-'Thông tin hoc sinh'!C36&lt;31,"")</f>
        <v/>
      </c>
      <c r="T36" s="399">
        <f>IF(B36&lt;&gt;"",AND(R36,S36),"")</f>
        <v/>
      </c>
      <c r="U36" s="399">
        <f>IF(B36&lt;&gt;"",(H36&gt;=9),"")</f>
        <v/>
      </c>
      <c r="V36" s="399">
        <f>IF(B36&lt;&gt;"",AND(U36,D36="Nữ"),"")</f>
        <v/>
      </c>
      <c r="W36" s="399">
        <f>IF(B36&lt;&gt;"",AND(U36,R36),"")</f>
        <v/>
      </c>
      <c r="X36" s="399">
        <f>IF(B36&lt;&gt;"",MENU!$E$5-'Thông tin hoc sinh'!C36&lt;26,"")</f>
        <v/>
      </c>
      <c r="Y36" s="399">
        <f>IF(B36&lt;&gt;"",AND(X36,D36="Nữ"),"")</f>
        <v/>
      </c>
      <c r="Z36" s="399">
        <f>IF(B36&lt;&gt;"",AND(X36,R36),"")</f>
        <v/>
      </c>
      <c r="AA36" s="399">
        <f>IF(B36&lt;&gt;"",AND(MENU!$E$5-'Thông tin hoc sinh'!C36&gt;=26,MENU!$E$5-'Thông tin hoc sinh'!C36&lt;=45),"")</f>
        <v/>
      </c>
      <c r="AB36" s="399">
        <f>IF(B36&lt;&gt;"",AND(AA36,D36="Nữ"),"")</f>
        <v/>
      </c>
      <c r="AC36" s="399">
        <f>IF(B36&lt;&gt;"",AND(AA36,R36),"")</f>
        <v/>
      </c>
      <c r="AD36" s="399">
        <f>IF(B36&lt;&gt;"",MENU!$E$5-'Thông tin hoc sinh'!C36&gt;45,"")</f>
        <v/>
      </c>
      <c r="AE36" s="399">
        <f>IF(B36&lt;&gt;"",AND(AD36,D36="Nữ"),"")</f>
        <v/>
      </c>
      <c r="AF36" s="399">
        <f>IF(B36&lt;&gt;"",AND(AD36,R36),"")</f>
        <v/>
      </c>
      <c r="AG36" s="399">
        <f>IF(P36&lt;&gt;"",J36,"")</f>
        <v/>
      </c>
      <c r="AH36" s="399">
        <f>IF(B36&lt;&gt;"",AND(P36="x",D36="Nữ"),"")</f>
        <v/>
      </c>
      <c r="AI36" s="399">
        <f>IF(B36&lt;&gt;"",AND(P36="x",D36="Nữ",I36="Người dân tộc thiểu số"),"")</f>
        <v/>
      </c>
      <c r="AJ36" s="399">
        <f>IF(B36&lt;&gt;"",AND(P36="x",I36="Người dân tộc thiểu số"),"")</f>
        <v/>
      </c>
      <c r="AK36" s="401">
        <f>IF(B36&lt;&gt;"",AND(P36="x",MENU!$E$5-'Thông tin hoc sinh'!C36&lt;31),"")</f>
        <v/>
      </c>
      <c r="AL36" s="399">
        <f>IF(B36&lt;&gt;"",AND(P36="x",R36,S36),"")</f>
        <v/>
      </c>
      <c r="AM36" s="399">
        <f>IF(B36&lt;&gt;"",AND(H36&gt;=9,P36="x"),"")</f>
        <v/>
      </c>
      <c r="AN36" s="399">
        <f>IF(B36&lt;&gt;"",AND(P36="x",X36,D36="Nữ"),"")</f>
        <v/>
      </c>
      <c r="AO36" s="399">
        <f>IF(B36&lt;&gt;"",AND(P36="x",U36,R36),"")</f>
        <v/>
      </c>
      <c r="AP36" s="399">
        <f>IF(B36&lt;&gt;"",AND(P36="x",MENU!$E$5-'Thông tin hoc sinh'!C36&lt;26),"")</f>
        <v/>
      </c>
      <c r="AQ36" s="399">
        <f>IF(B36&lt;&gt;"",AND(P36="x",X36,D36="Nữ"),"")</f>
        <v/>
      </c>
      <c r="AR36" s="399">
        <f>IF(B36&lt;&gt;"",AND(P36="x",X36,R36),"")</f>
        <v/>
      </c>
      <c r="AS36" s="399">
        <f>IF(B36&lt;&gt;"",AND(P36="x",MENU!$E$5-'Thông tin hoc sinh'!C36&gt;=26,MENU!$E$5-'Thông tin hoc sinh'!C36&lt;=45),"")</f>
        <v/>
      </c>
      <c r="AT36" s="399">
        <f>IF(B36&lt;&gt;"",AND(P36="x",AA36,D36="Nữ"),"")</f>
        <v/>
      </c>
      <c r="AU36" s="399">
        <f>IF(B36&lt;&gt;"",AND(P36="x",AA36,R36),"")</f>
        <v/>
      </c>
      <c r="AV36" s="399">
        <f>IF(B36&lt;&gt;"",AND(P36="x",MENU!$E$5-'Thông tin hoc sinh'!C36&gt;45),"")</f>
        <v/>
      </c>
      <c r="AW36" s="399">
        <f>IF(B36&lt;&gt;"",AND(P36="x",AD36,D36="Nữ"),"")</f>
        <v/>
      </c>
      <c r="AX36" s="399">
        <f>IF(B36&lt;&gt;"",AND(P36="x",AD36,R36),"")</f>
        <v/>
      </c>
    </row>
    <row r="37" ht="18.75" customFormat="1" customHeight="1" s="389">
      <c r="A37" s="390" t="inlineStr">
        <is>
          <t>35</t>
        </is>
      </c>
      <c r="B37" s="402" t="n"/>
      <c r="C37" s="393" t="n"/>
      <c r="D37" s="393" t="n"/>
      <c r="E37" s="393" t="n"/>
      <c r="F37" s="395">
        <f>IF(YEAR(TODAY())-C37&lt;=30,"X","")</f>
        <v/>
      </c>
      <c r="G37" s="395">
        <f>IF(AND(F37="X",E37&lt;&gt;"Kinh"),"X","")</f>
        <v/>
      </c>
      <c r="H37" s="393" t="n"/>
      <c r="I37" s="397" t="n"/>
      <c r="J37" s="395">
        <f>VLOOKUP(I37,IDs!$B$37:$C$46,2,0)</f>
        <v/>
      </c>
      <c r="K37" s="397" t="n"/>
      <c r="L37" s="397" t="n"/>
      <c r="M37" s="403" t="n"/>
      <c r="N37" s="399">
        <f>IF(C37="","",IF(YEAR(TODAY())-C37&lt;15,"Không đủ tuổi theo học",IF(AND(D37="Nam",YEAR(TODAY())-C37&gt;60),"Quá tuổi theo học",IF(AND(D37="Nữ",YEAR(TODAY())-C37&gt;55),"Quá tuổi theo học","Đảm bảo"))))</f>
        <v/>
      </c>
      <c r="O37" s="399">
        <f>IF(B37="","",IF(OR(LEFT(B37,1)="Y",LEFT(B37,1)="A"),"",IF(I37&lt;&gt;"Đối tượng lao động nông thôn khác","Cần hồ sơ chứng minh nhóm đối tượng","")))</f>
        <v/>
      </c>
      <c r="P37" s="400" t="n"/>
      <c r="Q37" s="399">
        <f>IF(B37&lt;&gt;"",AND(D37="Nữ",I37="Người dân tộc thiểu số"),"")</f>
        <v/>
      </c>
      <c r="R37" s="399">
        <f>IF(B37&lt;&gt;"",I37="Người dân tộc thiểu số","")</f>
        <v/>
      </c>
      <c r="S37" s="401">
        <f>IF(B37&lt;&gt;"",MENU!$E$5-'Thông tin hoc sinh'!C37&lt;31,"")</f>
        <v/>
      </c>
      <c r="T37" s="399">
        <f>IF(B37&lt;&gt;"",AND(R37,S37),"")</f>
        <v/>
      </c>
      <c r="U37" s="399">
        <f>IF(B37&lt;&gt;"",(H37&gt;=9),"")</f>
        <v/>
      </c>
      <c r="V37" s="399">
        <f>IF(B37&lt;&gt;"",AND(U37,D37="Nữ"),"")</f>
        <v/>
      </c>
      <c r="W37" s="399">
        <f>IF(B37&lt;&gt;"",AND(U37,R37),"")</f>
        <v/>
      </c>
      <c r="X37" s="399">
        <f>IF(B37&lt;&gt;"",MENU!$E$5-'Thông tin hoc sinh'!C37&lt;26,"")</f>
        <v/>
      </c>
      <c r="Y37" s="399">
        <f>IF(B37&lt;&gt;"",AND(X37,D37="Nữ"),"")</f>
        <v/>
      </c>
      <c r="Z37" s="399">
        <f>IF(B37&lt;&gt;"",AND(X37,R37),"")</f>
        <v/>
      </c>
      <c r="AA37" s="399">
        <f>IF(B37&lt;&gt;"",AND(MENU!$E$5-'Thông tin hoc sinh'!C37&gt;=26,MENU!$E$5-'Thông tin hoc sinh'!C37&lt;=45),"")</f>
        <v/>
      </c>
      <c r="AB37" s="399">
        <f>IF(B37&lt;&gt;"",AND(AA37,D37="Nữ"),"")</f>
        <v/>
      </c>
      <c r="AC37" s="399">
        <f>IF(B37&lt;&gt;"",AND(AA37,R37),"")</f>
        <v/>
      </c>
      <c r="AD37" s="399">
        <f>IF(B37&lt;&gt;"",MENU!$E$5-'Thông tin hoc sinh'!C37&gt;45,"")</f>
        <v/>
      </c>
      <c r="AE37" s="399">
        <f>IF(B37&lt;&gt;"",AND(AD37,D37="Nữ"),"")</f>
        <v/>
      </c>
      <c r="AF37" s="399">
        <f>IF(B37&lt;&gt;"",AND(AD37,R37),"")</f>
        <v/>
      </c>
      <c r="AG37" s="399">
        <f>IF(P37&lt;&gt;"",J37,"")</f>
        <v/>
      </c>
      <c r="AH37" s="399">
        <f>IF(B37&lt;&gt;"",AND(P37="x",D37="Nữ"),"")</f>
        <v/>
      </c>
      <c r="AI37" s="399">
        <f>IF(B37&lt;&gt;"",AND(P37="x",D37="Nữ",I37="Người dân tộc thiểu số"),"")</f>
        <v/>
      </c>
      <c r="AJ37" s="399">
        <f>IF(B37&lt;&gt;"",AND(P37="x",I37="Người dân tộc thiểu số"),"")</f>
        <v/>
      </c>
      <c r="AK37" s="401">
        <f>IF(B37&lt;&gt;"",AND(P37="x",MENU!$E$5-'Thông tin hoc sinh'!C37&lt;31),"")</f>
        <v/>
      </c>
      <c r="AL37" s="399">
        <f>IF(B37&lt;&gt;"",AND(P37="x",R37,S37),"")</f>
        <v/>
      </c>
      <c r="AM37" s="399">
        <f>IF(B37&lt;&gt;"",AND(H37&gt;=9,P37="x"),"")</f>
        <v/>
      </c>
      <c r="AN37" s="399">
        <f>IF(B37&lt;&gt;"",AND(P37="x",X37,D37="Nữ"),"")</f>
        <v/>
      </c>
      <c r="AO37" s="399">
        <f>IF(B37&lt;&gt;"",AND(P37="x",U37,R37),"")</f>
        <v/>
      </c>
      <c r="AP37" s="399">
        <f>IF(B37&lt;&gt;"",AND(P37="x",MENU!$E$5-'Thông tin hoc sinh'!C37&lt;26),"")</f>
        <v/>
      </c>
      <c r="AQ37" s="399">
        <f>IF(B37&lt;&gt;"",AND(P37="x",X37,D37="Nữ"),"")</f>
        <v/>
      </c>
      <c r="AR37" s="399">
        <f>IF(B37&lt;&gt;"",AND(P37="x",X37,R37),"")</f>
        <v/>
      </c>
      <c r="AS37" s="399">
        <f>IF(B37&lt;&gt;"",AND(P37="x",MENU!$E$5-'Thông tin hoc sinh'!C37&gt;=26,MENU!$E$5-'Thông tin hoc sinh'!C37&lt;=45),"")</f>
        <v/>
      </c>
      <c r="AT37" s="399">
        <f>IF(B37&lt;&gt;"",AND(P37="x",AA37,D37="Nữ"),"")</f>
        <v/>
      </c>
      <c r="AU37" s="399">
        <f>IF(B37&lt;&gt;"",AND(P37="x",AA37,R37),"")</f>
        <v/>
      </c>
      <c r="AV37" s="399">
        <f>IF(B37&lt;&gt;"",AND(P37="x",MENU!$E$5-'Thông tin hoc sinh'!C37&gt;45),"")</f>
        <v/>
      </c>
      <c r="AW37" s="399">
        <f>IF(B37&lt;&gt;"",AND(P37="x",AD37,D37="Nữ"),"")</f>
        <v/>
      </c>
      <c r="AX37" s="399">
        <f>IF(B37&lt;&gt;"",AND(P37="x",AD37,R37),"")</f>
        <v/>
      </c>
    </row>
    <row r="38" ht="17.25" customFormat="1" customHeight="1" s="404">
      <c r="A38" s="390" t="n"/>
      <c r="B38" s="390" t="n"/>
      <c r="C38" s="393" t="n"/>
      <c r="D38" s="393" t="n"/>
      <c r="E38" s="393" t="n"/>
      <c r="F38" s="393" t="n"/>
      <c r="G38" s="393" t="n"/>
      <c r="H38" s="405" t="n"/>
      <c r="I38" s="393" t="n"/>
      <c r="J38" s="393" t="n"/>
      <c r="K38" s="393" t="n"/>
      <c r="L38" s="393" t="n"/>
      <c r="M38" s="406" t="n"/>
      <c r="N38" s="407" t="n"/>
      <c r="O38" s="407" t="n"/>
      <c r="P38" s="408">
        <f>COUNTIF(P3:P37,"TRUE")</f>
        <v/>
      </c>
      <c r="Q38" s="408">
        <f>COUNTIF(Q3:Q37,"TRUE")</f>
        <v/>
      </c>
      <c r="R38" s="408">
        <f>COUNTIF(R3:R37,"TRUE")</f>
        <v/>
      </c>
      <c r="S38" s="408">
        <f>COUNTIF(S3:S37,"TRUE")</f>
        <v/>
      </c>
      <c r="T38" s="408">
        <f>COUNTIF(T3:T37,"TRUE")</f>
        <v/>
      </c>
      <c r="U38" s="408">
        <f>COUNTIF(U3:U37,"TRUE")</f>
        <v/>
      </c>
      <c r="V38" s="408">
        <f>COUNTIF(V3:V37,"TRUE")</f>
        <v/>
      </c>
      <c r="W38" s="408">
        <f>COUNTIF(W3:W37,"TRUE")</f>
        <v/>
      </c>
      <c r="X38" s="408">
        <f>COUNTIF(X3:X37,"TRUE")</f>
        <v/>
      </c>
      <c r="Y38" s="408">
        <f>COUNTIF(Y3:Y37,"TRUE")</f>
        <v/>
      </c>
      <c r="Z38" s="408">
        <f>COUNTIF(Z3:Z37,"TRUE")</f>
        <v/>
      </c>
      <c r="AA38" s="408">
        <f>COUNTIF(AA3:AA37,"TRUE")</f>
        <v/>
      </c>
      <c r="AB38" s="408">
        <f>COUNTIF(AB3:AB37,"TRUE")</f>
        <v/>
      </c>
      <c r="AC38" s="408">
        <f>COUNTIF(AC3:AC37,"TRUE")</f>
        <v/>
      </c>
      <c r="AD38" s="408">
        <f>COUNTIF(AD3:AD37,"TRUE")</f>
        <v/>
      </c>
      <c r="AE38" s="408">
        <f>COUNTIF(AE3:AE37,"TRUE")</f>
        <v/>
      </c>
      <c r="AF38" s="408">
        <f>COUNTIF(AF3:AF37,"TRUE")</f>
        <v/>
      </c>
      <c r="AG38" s="400" t="n"/>
      <c r="AH38" s="408">
        <f>COUNTIF(AH3:AH37,"TRUE")</f>
        <v/>
      </c>
      <c r="AI38" s="408">
        <f>COUNTIF(AI3:AI37,"TRUE")</f>
        <v/>
      </c>
      <c r="AJ38" s="408">
        <f>COUNTIF(AJ3:AJ37,"TRUE")</f>
        <v/>
      </c>
      <c r="AK38" s="408">
        <f>COUNTIF(AK3:AK37,"TRUE")</f>
        <v/>
      </c>
      <c r="AL38" s="408">
        <f>COUNTIF(AL3:AL37,"TRUE")</f>
        <v/>
      </c>
      <c r="AM38" s="408">
        <f>COUNTIF(AM3:AM37,"TRUE")</f>
        <v/>
      </c>
      <c r="AN38" s="408">
        <f>COUNTIF(AN3:AN37,"TRUE")</f>
        <v/>
      </c>
      <c r="AO38" s="408">
        <f>COUNTIF(AO3:AO37,"TRUE")</f>
        <v/>
      </c>
      <c r="AP38" s="408">
        <f>COUNTIF(AP3:AP37,"TRUE")</f>
        <v/>
      </c>
      <c r="AQ38" s="408">
        <f>COUNTIF(AQ3:AQ37,"TRUE")</f>
        <v/>
      </c>
      <c r="AR38" s="408">
        <f>COUNTIF(AR3:AR37,"TRUE")</f>
        <v/>
      </c>
      <c r="AS38" s="408">
        <f>COUNTIF(AS3:AS37,"TRUE")</f>
        <v/>
      </c>
      <c r="AT38" s="408">
        <f>COUNTIF(AT3:AT37,"TRUE")</f>
        <v/>
      </c>
      <c r="AU38" s="408">
        <f>COUNTIF(AU3:AU37,"TRUE")</f>
        <v/>
      </c>
      <c r="AV38" s="408">
        <f>COUNTIF(AV3:AV37,"TRUE")</f>
        <v/>
      </c>
      <c r="AW38" s="408">
        <f>COUNTIF(AW3:AW37,"TRUE")</f>
        <v/>
      </c>
      <c r="AX38" s="408">
        <f>COUNTIF(AX3:AX37,"TRUE")</f>
        <v/>
      </c>
    </row>
  </sheetData>
  <mergeCells count="33">
    <mergeCell ref="AD1:AF1"/>
    <mergeCell ref="AP1:AR1"/>
    <mergeCell ref="C1:C2"/>
    <mergeCell ref="E1:E2"/>
    <mergeCell ref="K1:K2"/>
    <mergeCell ref="AM1:AO1"/>
    <mergeCell ref="M1:M2"/>
    <mergeCell ref="O1:O2"/>
    <mergeCell ref="AH1:AH2"/>
    <mergeCell ref="Q1:Q2"/>
    <mergeCell ref="P1:P2"/>
    <mergeCell ref="B1:B2"/>
    <mergeCell ref="L1:L2"/>
    <mergeCell ref="X1:Z1"/>
    <mergeCell ref="AK1:AK2"/>
    <mergeCell ref="N1:N2"/>
    <mergeCell ref="T1:T2"/>
    <mergeCell ref="U1:W1"/>
    <mergeCell ref="G1:G2"/>
    <mergeCell ref="A1:A2"/>
    <mergeCell ref="I1:J1"/>
    <mergeCell ref="S1:S2"/>
    <mergeCell ref="AJ1:AJ2"/>
    <mergeCell ref="AL1:AL2"/>
    <mergeCell ref="AV1:AX1"/>
    <mergeCell ref="AA1:AC1"/>
    <mergeCell ref="AS1:AU1"/>
    <mergeCell ref="D1:D2"/>
    <mergeCell ref="R1:R2"/>
    <mergeCell ref="F1:F2"/>
    <mergeCell ref="H1:H2"/>
    <mergeCell ref="AG1:AG2"/>
    <mergeCell ref="AI1:AI2"/>
  </mergeCells>
  <dataValidations count="5">
    <dataValidation sqref="D3:D37" showDropDown="0" showInputMessage="0" showErrorMessage="1" allowBlank="1" type="list" errorStyle="stop" operator="between">
      <formula1>"Nam,Nữ"</formula1>
      <formula2>0</formula2>
    </dataValidation>
    <dataValidation sqref="H35:H37" showDropDown="0" showInputMessage="1" showErrorMessage="1" allowBlank="1" errorTitle="Thông báo" error="Bạn chỉ được nhập từ 0 đến 12" promptTitle="Hướng dẫn" prompt="Chỉ nhập số nguyên từ 0 đến 12" type="whole" errorStyle="stop" operator="between">
      <formula1>0</formula1>
      <formula2>12</formula2>
    </dataValidation>
    <dataValidation sqref="C3:C37" showDropDown="0" showInputMessage="1" showErrorMessage="1" allowBlank="1" promptTitle="Hướng dẫn" prompt="Bạn chỉ nhập năm sinh" errorStyle="stop" operator="between">
      <formula1>0</formula1>
      <formula2>0</formula2>
    </dataValidation>
    <dataValidation sqref="F3:G37" showDropDown="0" showInputMessage="1" showErrorMessage="1" allowBlank="1" promptTitle="Hướng dẫn" prompt="Ô này sẽ tự động chạy, bạn không cần nhập hay chỉnh sửa!" errorStyle="stop" operator="between">
      <formula1>0</formula1>
      <formula2>0</formula2>
    </dataValidation>
    <dataValidation sqref="M3:M37" showDropDown="0" showInputMessage="1" showErrorMessage="1" allowBlank="1" promptTitle="Hướng dẫn" prompt="Ghi đủ địa giới hành chính 4 cấp cách nhau bởi dấu &quot;,&quot;&#10;VD: Thôn 7, Kon Đào, ĐăkTô, Kon Tum" errorStyle="stop" operator="between">
      <formula1>0</formula1>
      <formula2>0</formula2>
    </dataValidation>
  </dataValidations>
  <printOptions horizontalCentered="0" verticalCentered="0" headings="0" gridLines="0" gridLinesSet="1"/>
  <pageMargins left="0.370138888888889" right="0.229861111111111" top="0.490277777777778" bottom="0.559722222222222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73"/>
  <sheetViews>
    <sheetView showFormulas="0" showGridLines="1" showRowColHeaders="1" showZeros="1" rightToLeft="0" tabSelected="0" showOutlineSymbols="1" defaultGridColor="1" view="normal" topLeftCell="A34" colorId="64" zoomScale="85" zoomScaleNormal="85" zoomScalePageLayoutView="100" workbookViewId="0">
      <selection pane="topLeft" activeCell="B42" activeCellId="0" sqref="B42"/>
    </sheetView>
  </sheetViews>
  <sheetFormatPr baseColWidth="8" defaultColWidth="8.99609375" defaultRowHeight="15.75" zeroHeight="0" outlineLevelRow="0"/>
  <cols>
    <col width="4.87" customWidth="1" style="373" min="1" max="1"/>
    <col width="13.49" customWidth="1" style="375" min="2" max="2"/>
    <col width="8.619999999999999" customWidth="1" style="375" min="3" max="3"/>
    <col width="9.24" customWidth="1" style="374" min="4" max="4"/>
    <col width="6.99" customWidth="1" style="375" min="5" max="5"/>
    <col width="9.119999999999999" customWidth="1" style="375" min="6" max="6"/>
    <col width="6.87" customWidth="1" style="375" min="7" max="7"/>
    <col width="8.359999999999999" customWidth="1" style="375" min="8" max="8"/>
    <col width="8.24" customWidth="1" style="375" min="9" max="9"/>
    <col width="8.5" customWidth="1" style="375" min="10" max="10"/>
    <col width="22.24" customWidth="1" style="375" min="11" max="11"/>
    <col width="39.87" customWidth="1" style="375" min="12" max="12"/>
    <col width="7.5" customWidth="1" style="375" min="13" max="13"/>
    <col width="8.99" customWidth="1" style="375" min="14" max="257"/>
  </cols>
  <sheetData>
    <row r="1" ht="16.5" customHeight="1" s="335">
      <c r="B1" s="409" t="n"/>
      <c r="C1" s="409" t="n"/>
      <c r="D1" s="410" t="inlineStr">
        <is>
          <t>UBND HUYỆN ĐĂK TÔ</t>
        </is>
      </c>
      <c r="E1" s="376" t="n"/>
      <c r="I1" s="411" t="n"/>
      <c r="J1" s="411" t="n"/>
      <c r="K1" s="412" t="inlineStr">
        <is>
          <t>CỘNG HÒA XÃ HỘI CHỦ NGHĨA VIỆT NAM</t>
        </is>
      </c>
      <c r="M1" s="411" t="n"/>
    </row>
    <row r="2" ht="16.5" customHeight="1" s="335">
      <c r="B2" s="409" t="n"/>
      <c r="C2" s="409" t="n"/>
      <c r="D2" s="412" t="inlineStr">
        <is>
          <t>TRUNG TÂM GDNN - GDTX</t>
        </is>
      </c>
      <c r="E2" s="411" t="n"/>
      <c r="I2" s="411" t="n"/>
      <c r="J2" s="411" t="n"/>
      <c r="K2" s="412" t="inlineStr">
        <is>
          <t>Độc lập - Tự do - Hạnh phúc</t>
        </is>
      </c>
      <c r="M2" s="411" t="n"/>
    </row>
    <row r="3" hidden="1" ht="14.25" customHeight="1" s="335">
      <c r="A3" s="413" t="n"/>
      <c r="B3" s="414" t="n"/>
      <c r="C3" s="414" t="n"/>
      <c r="D3" s="415" t="n"/>
      <c r="E3" s="414" t="n"/>
      <c r="F3" s="414" t="n"/>
      <c r="G3" s="414" t="n"/>
      <c r="H3" s="414" t="n"/>
      <c r="I3" s="414" t="n"/>
      <c r="J3" s="414" t="n"/>
      <c r="K3" s="414" t="n"/>
      <c r="L3" s="414" t="n"/>
      <c r="M3" s="414" t="n"/>
    </row>
    <row r="4" ht="11.25" customHeight="1" s="335">
      <c r="A4" s="413" t="n"/>
      <c r="B4" s="414" t="n"/>
      <c r="C4" s="414" t="n"/>
      <c r="D4" s="415" t="n"/>
      <c r="E4" s="414" t="n"/>
      <c r="F4" s="414" t="n"/>
      <c r="G4" s="414" t="n"/>
      <c r="H4" s="414" t="n"/>
      <c r="I4" s="414" t="n"/>
      <c r="J4" s="414" t="n"/>
      <c r="K4" s="414" t="n"/>
      <c r="L4" s="414" t="n"/>
      <c r="M4" s="414" t="n"/>
    </row>
    <row r="5" ht="24" customHeight="1" s="335">
      <c r="A5" s="416" t="inlineStr">
        <is>
          <t>DANH SÁCH TRÍCH NGANG HỌC VIÊN</t>
        </is>
      </c>
    </row>
    <row r="6" ht="18.75" customHeight="1" s="335">
      <c r="A6" s="417">
        <f>"Đào tạo nghề cho lao động nông thôn - Nghề: "&amp;MENU!E3&amp;"; Khóa: "&amp;MENU!E4&amp;"; Năm "&amp;MENU!E5</f>
        <v/>
      </c>
    </row>
    <row r="7" ht="18.75" customHeight="1" s="335">
      <c r="A7" s="417">
        <f>"Địa điểm mở lớp: xã "&amp;MENU!E6&amp;" - huyện "&amp;MENU!E7&amp;" - tỉnh Kon Tum"</f>
        <v/>
      </c>
    </row>
    <row r="8" ht="21" customHeight="1" s="335">
      <c r="A8" s="418">
        <f>"(Danh sách kèm theo Quyết định số:       /QĐ-GDNN-GDTX ngày      tháng      năm "&amp;MENU!E5&amp;" của Giám đốc Trung tâm GDNN-GDTX huyện Đăk Tô)"</f>
        <v/>
      </c>
    </row>
    <row r="9" ht="47.25" customFormat="1" customHeight="1" s="376">
      <c r="A9" s="419" t="inlineStr">
        <is>
          <t>Số
TT</t>
        </is>
      </c>
      <c r="B9" s="420" t="inlineStr">
        <is>
          <t>Họ và tên</t>
        </is>
      </c>
      <c r="C9" s="342" t="n"/>
      <c r="D9" s="421" t="inlineStr">
        <is>
          <t>Ngày, tháng, năm sinh</t>
        </is>
      </c>
      <c r="E9" s="422" t="inlineStr">
        <is>
          <t>Giới tính</t>
        </is>
      </c>
      <c r="F9" s="422" t="inlineStr">
        <is>
          <t>Dân tộc</t>
        </is>
      </c>
      <c r="G9" s="422" t="inlineStr">
        <is>
          <t>Thanh niên</t>
        </is>
      </c>
      <c r="H9" s="422" t="inlineStr">
        <is>
          <t>Thanh niên DTTS</t>
        </is>
      </c>
      <c r="I9" s="422" t="inlineStr">
        <is>
          <t>Trình độ văn hóa</t>
        </is>
      </c>
      <c r="J9" s="422" t="inlineStr">
        <is>
          <t>Nhóm đối tượng</t>
        </is>
      </c>
      <c r="K9" s="420" t="inlineStr">
        <is>
          <t>Nguyên quán</t>
        </is>
      </c>
      <c r="L9" s="420" t="inlineStr">
        <is>
          <t>Nơi cư trú</t>
        </is>
      </c>
      <c r="M9" s="419" t="inlineStr">
        <is>
          <t>Ghi chú</t>
        </is>
      </c>
    </row>
    <row r="10" ht="18.75" customFormat="1" customHeight="1" s="389">
      <c r="A10" s="423" t="inlineStr">
        <is>
          <t>01</t>
        </is>
      </c>
      <c r="B10" s="424">
        <f>LEFT('Thông tin hoc sinh'!B3,LEN('Thông tin hoc sinh'!B3)-LEN(C10))</f>
        <v/>
      </c>
      <c r="C10" s="425">
        <f>RIGHT('Thông tin hoc sinh'!B3,LEN('Thông tin hoc sinh'!B3)-FIND("*",SUBSTITUTE('Thông tin hoc sinh'!B3," ","*",LEN('Thông tin hoc sinh'!B3)-LEN(SUBSTITUTE('Thông tin hoc sinh'!B3," ","")))))</f>
        <v/>
      </c>
      <c r="D10" s="426">
        <f>'Thông tin hoc sinh'!C3</f>
        <v/>
      </c>
      <c r="E10" s="426">
        <f>'Thông tin hoc sinh'!D3</f>
        <v/>
      </c>
      <c r="F10" s="426">
        <f>'Thông tin hoc sinh'!E3</f>
        <v/>
      </c>
      <c r="G10" s="426">
        <f>'Thông tin hoc sinh'!F3</f>
        <v/>
      </c>
      <c r="H10" s="426">
        <f>'Thông tin hoc sinh'!G3</f>
        <v/>
      </c>
      <c r="I10" s="427">
        <f>IF('Thông tin hoc sinh'!H3&gt;0,'Thông tin hoc sinh'!H3,"Không")</f>
        <v/>
      </c>
      <c r="J10" s="426">
        <f>'Thông tin hoc sinh'!J3</f>
        <v/>
      </c>
      <c r="K10" s="426">
        <f>'Thông tin hoc sinh'!L3</f>
        <v/>
      </c>
      <c r="L10" s="426">
        <f>'Thông tin hoc sinh'!M3</f>
        <v/>
      </c>
      <c r="M10" s="428" t="n"/>
    </row>
    <row r="11" ht="18.75" customFormat="1" customHeight="1" s="389">
      <c r="A11" s="429" t="inlineStr">
        <is>
          <t>02</t>
        </is>
      </c>
      <c r="B11" s="430">
        <f>LEFT('Thông tin hoc sinh'!B4,LEN('Thông tin hoc sinh'!B4)-LEN(C11))</f>
        <v/>
      </c>
      <c r="C11" s="431">
        <f>RIGHT('Thông tin hoc sinh'!B4,LEN('Thông tin hoc sinh'!B4)-FIND("*",SUBSTITUTE('Thông tin hoc sinh'!B4," ","*",LEN('Thông tin hoc sinh'!B4)-LEN(SUBSTITUTE('Thông tin hoc sinh'!B4," ","")))))</f>
        <v/>
      </c>
      <c r="D11" s="432">
        <f>'Thông tin hoc sinh'!C4</f>
        <v/>
      </c>
      <c r="E11" s="432">
        <f>'Thông tin hoc sinh'!D4</f>
        <v/>
      </c>
      <c r="F11" s="432">
        <f>'Thông tin hoc sinh'!E4</f>
        <v/>
      </c>
      <c r="G11" s="432">
        <f>'Thông tin hoc sinh'!F4</f>
        <v/>
      </c>
      <c r="H11" s="432">
        <f>'Thông tin hoc sinh'!G4</f>
        <v/>
      </c>
      <c r="I11" s="433">
        <f>IF('Thông tin hoc sinh'!H4&gt;0,'Thông tin hoc sinh'!H4,"Không")</f>
        <v/>
      </c>
      <c r="J11" s="432">
        <f>'Thông tin hoc sinh'!J4</f>
        <v/>
      </c>
      <c r="K11" s="432">
        <f>'Thông tin hoc sinh'!L4</f>
        <v/>
      </c>
      <c r="L11" s="432">
        <f>'Thông tin hoc sinh'!M4</f>
        <v/>
      </c>
      <c r="M11" s="434" t="n"/>
    </row>
    <row r="12" ht="18.75" customFormat="1" customHeight="1" s="389">
      <c r="A12" s="429" t="inlineStr">
        <is>
          <t>03</t>
        </is>
      </c>
      <c r="B12" s="430">
        <f>LEFT('Thông tin hoc sinh'!B5,LEN('Thông tin hoc sinh'!B5)-LEN(C12))</f>
        <v/>
      </c>
      <c r="C12" s="431">
        <f>RIGHT('Thông tin hoc sinh'!B5,LEN('Thông tin hoc sinh'!B5)-FIND("*",SUBSTITUTE('Thông tin hoc sinh'!B5," ","*",LEN('Thông tin hoc sinh'!B5)-LEN(SUBSTITUTE('Thông tin hoc sinh'!B5," ","")))))</f>
        <v/>
      </c>
      <c r="D12" s="432">
        <f>'Thông tin hoc sinh'!C5</f>
        <v/>
      </c>
      <c r="E12" s="432">
        <f>'Thông tin hoc sinh'!D5</f>
        <v/>
      </c>
      <c r="F12" s="432">
        <f>'Thông tin hoc sinh'!E5</f>
        <v/>
      </c>
      <c r="G12" s="432">
        <f>'Thông tin hoc sinh'!F5</f>
        <v/>
      </c>
      <c r="H12" s="432">
        <f>'Thông tin hoc sinh'!G5</f>
        <v/>
      </c>
      <c r="I12" s="433">
        <f>IF('Thông tin hoc sinh'!H5&gt;0,'Thông tin hoc sinh'!H5,"Không")</f>
        <v/>
      </c>
      <c r="J12" s="432">
        <f>'Thông tin hoc sinh'!J5</f>
        <v/>
      </c>
      <c r="K12" s="432">
        <f>'Thông tin hoc sinh'!L5</f>
        <v/>
      </c>
      <c r="L12" s="432">
        <f>'Thông tin hoc sinh'!M5</f>
        <v/>
      </c>
      <c r="M12" s="434" t="n"/>
    </row>
    <row r="13" ht="18.75" customFormat="1" customHeight="1" s="389">
      <c r="A13" s="429" t="inlineStr">
        <is>
          <t>04</t>
        </is>
      </c>
      <c r="B13" s="430">
        <f>LEFT('Thông tin hoc sinh'!B6,LEN('Thông tin hoc sinh'!B6)-LEN(C13))</f>
        <v/>
      </c>
      <c r="C13" s="431">
        <f>RIGHT('Thông tin hoc sinh'!B6,LEN('Thông tin hoc sinh'!B6)-FIND("*",SUBSTITUTE('Thông tin hoc sinh'!B6," ","*",LEN('Thông tin hoc sinh'!B6)-LEN(SUBSTITUTE('Thông tin hoc sinh'!B6," ","")))))</f>
        <v/>
      </c>
      <c r="D13" s="432">
        <f>'Thông tin hoc sinh'!C6</f>
        <v/>
      </c>
      <c r="E13" s="432">
        <f>'Thông tin hoc sinh'!D6</f>
        <v/>
      </c>
      <c r="F13" s="432">
        <f>'Thông tin hoc sinh'!E6</f>
        <v/>
      </c>
      <c r="G13" s="432">
        <f>'Thông tin hoc sinh'!F6</f>
        <v/>
      </c>
      <c r="H13" s="432">
        <f>'Thông tin hoc sinh'!G6</f>
        <v/>
      </c>
      <c r="I13" s="433">
        <f>IF('Thông tin hoc sinh'!H6&gt;0,'Thông tin hoc sinh'!H6,"Không")</f>
        <v/>
      </c>
      <c r="J13" s="432">
        <f>'Thông tin hoc sinh'!J6</f>
        <v/>
      </c>
      <c r="K13" s="432">
        <f>'Thông tin hoc sinh'!L6</f>
        <v/>
      </c>
      <c r="L13" s="432">
        <f>'Thông tin hoc sinh'!M6</f>
        <v/>
      </c>
      <c r="M13" s="434" t="n"/>
    </row>
    <row r="14" ht="18.75" customFormat="1" customHeight="1" s="389">
      <c r="A14" s="429" t="inlineStr">
        <is>
          <t>05</t>
        </is>
      </c>
      <c r="B14" s="430">
        <f>LEFT('Thông tin hoc sinh'!B7,LEN('Thông tin hoc sinh'!B7)-LEN(C14))</f>
        <v/>
      </c>
      <c r="C14" s="431">
        <f>RIGHT('Thông tin hoc sinh'!B7,LEN('Thông tin hoc sinh'!B7)-FIND("*",SUBSTITUTE('Thông tin hoc sinh'!B7," ","*",LEN('Thông tin hoc sinh'!B7)-LEN(SUBSTITUTE('Thông tin hoc sinh'!B7," ","")))))</f>
        <v/>
      </c>
      <c r="D14" s="432">
        <f>'Thông tin hoc sinh'!C7</f>
        <v/>
      </c>
      <c r="E14" s="432">
        <f>'Thông tin hoc sinh'!D7</f>
        <v/>
      </c>
      <c r="F14" s="432">
        <f>'Thông tin hoc sinh'!E7</f>
        <v/>
      </c>
      <c r="G14" s="432">
        <f>'Thông tin hoc sinh'!F7</f>
        <v/>
      </c>
      <c r="H14" s="432">
        <f>'Thông tin hoc sinh'!G7</f>
        <v/>
      </c>
      <c r="I14" s="433">
        <f>IF('Thông tin hoc sinh'!H7&gt;0,'Thông tin hoc sinh'!H7,"Không")</f>
        <v/>
      </c>
      <c r="J14" s="432">
        <f>'Thông tin hoc sinh'!J7</f>
        <v/>
      </c>
      <c r="K14" s="432">
        <f>'Thông tin hoc sinh'!L7</f>
        <v/>
      </c>
      <c r="L14" s="432">
        <f>'Thông tin hoc sinh'!M7</f>
        <v/>
      </c>
      <c r="M14" s="434" t="n"/>
    </row>
    <row r="15" ht="18.75" customFormat="1" customHeight="1" s="389">
      <c r="A15" s="429" t="inlineStr">
        <is>
          <t>06</t>
        </is>
      </c>
      <c r="B15" s="430">
        <f>LEFT('Thông tin hoc sinh'!B8,LEN('Thông tin hoc sinh'!B8)-LEN(C15))</f>
        <v/>
      </c>
      <c r="C15" s="431">
        <f>RIGHT('Thông tin hoc sinh'!B8,LEN('Thông tin hoc sinh'!B8)-FIND("*",SUBSTITUTE('Thông tin hoc sinh'!B8," ","*",LEN('Thông tin hoc sinh'!B8)-LEN(SUBSTITUTE('Thông tin hoc sinh'!B8," ","")))))</f>
        <v/>
      </c>
      <c r="D15" s="432">
        <f>'Thông tin hoc sinh'!C8</f>
        <v/>
      </c>
      <c r="E15" s="432">
        <f>'Thông tin hoc sinh'!D8</f>
        <v/>
      </c>
      <c r="F15" s="432">
        <f>'Thông tin hoc sinh'!E8</f>
        <v/>
      </c>
      <c r="G15" s="432">
        <f>'Thông tin hoc sinh'!F8</f>
        <v/>
      </c>
      <c r="H15" s="432">
        <f>'Thông tin hoc sinh'!G8</f>
        <v/>
      </c>
      <c r="I15" s="433">
        <f>IF('Thông tin hoc sinh'!H8&gt;0,'Thông tin hoc sinh'!H8,"Không")</f>
        <v/>
      </c>
      <c r="J15" s="432">
        <f>'Thông tin hoc sinh'!J8</f>
        <v/>
      </c>
      <c r="K15" s="432">
        <f>'Thông tin hoc sinh'!L8</f>
        <v/>
      </c>
      <c r="L15" s="432">
        <f>'Thông tin hoc sinh'!M8</f>
        <v/>
      </c>
      <c r="M15" s="434" t="n"/>
    </row>
    <row r="16" ht="18.75" customFormat="1" customHeight="1" s="389">
      <c r="A16" s="429" t="inlineStr">
        <is>
          <t>07</t>
        </is>
      </c>
      <c r="B16" s="430">
        <f>LEFT('Thông tin hoc sinh'!B9,LEN('Thông tin hoc sinh'!B9)-LEN(C16))</f>
        <v/>
      </c>
      <c r="C16" s="431">
        <f>RIGHT('Thông tin hoc sinh'!B9,LEN('Thông tin hoc sinh'!B9)-FIND("*",SUBSTITUTE('Thông tin hoc sinh'!B9," ","*",LEN('Thông tin hoc sinh'!B9)-LEN(SUBSTITUTE('Thông tin hoc sinh'!B9," ","")))))</f>
        <v/>
      </c>
      <c r="D16" s="432">
        <f>'Thông tin hoc sinh'!C9</f>
        <v/>
      </c>
      <c r="E16" s="432">
        <f>'Thông tin hoc sinh'!D9</f>
        <v/>
      </c>
      <c r="F16" s="432">
        <f>'Thông tin hoc sinh'!E9</f>
        <v/>
      </c>
      <c r="G16" s="432">
        <f>'Thông tin hoc sinh'!F9</f>
        <v/>
      </c>
      <c r="H16" s="432">
        <f>'Thông tin hoc sinh'!G9</f>
        <v/>
      </c>
      <c r="I16" s="433">
        <f>IF('Thông tin hoc sinh'!H9&gt;0,'Thông tin hoc sinh'!H9,"Không")</f>
        <v/>
      </c>
      <c r="J16" s="432">
        <f>'Thông tin hoc sinh'!J9</f>
        <v/>
      </c>
      <c r="K16" s="432">
        <f>'Thông tin hoc sinh'!L9</f>
        <v/>
      </c>
      <c r="L16" s="432">
        <f>'Thông tin hoc sinh'!M9</f>
        <v/>
      </c>
      <c r="M16" s="434" t="n"/>
    </row>
    <row r="17" ht="18.75" customFormat="1" customHeight="1" s="389">
      <c r="A17" s="429" t="inlineStr">
        <is>
          <t>08</t>
        </is>
      </c>
      <c r="B17" s="430">
        <f>LEFT('Thông tin hoc sinh'!B10,LEN('Thông tin hoc sinh'!B10)-LEN(C17))</f>
        <v/>
      </c>
      <c r="C17" s="431">
        <f>RIGHT('Thông tin hoc sinh'!B10,LEN('Thông tin hoc sinh'!B10)-FIND("*",SUBSTITUTE('Thông tin hoc sinh'!B10," ","*",LEN('Thông tin hoc sinh'!B10)-LEN(SUBSTITUTE('Thông tin hoc sinh'!B10," ","")))))</f>
        <v/>
      </c>
      <c r="D17" s="432">
        <f>'Thông tin hoc sinh'!C10</f>
        <v/>
      </c>
      <c r="E17" s="432">
        <f>'Thông tin hoc sinh'!D10</f>
        <v/>
      </c>
      <c r="F17" s="432">
        <f>'Thông tin hoc sinh'!E10</f>
        <v/>
      </c>
      <c r="G17" s="432">
        <f>'Thông tin hoc sinh'!F10</f>
        <v/>
      </c>
      <c r="H17" s="432">
        <f>'Thông tin hoc sinh'!G10</f>
        <v/>
      </c>
      <c r="I17" s="433">
        <f>IF('Thông tin hoc sinh'!H10&gt;0,'Thông tin hoc sinh'!H10,"Không")</f>
        <v/>
      </c>
      <c r="J17" s="432">
        <f>'Thông tin hoc sinh'!J10</f>
        <v/>
      </c>
      <c r="K17" s="432">
        <f>'Thông tin hoc sinh'!L10</f>
        <v/>
      </c>
      <c r="L17" s="432">
        <f>'Thông tin hoc sinh'!M10</f>
        <v/>
      </c>
      <c r="M17" s="434" t="n"/>
    </row>
    <row r="18" ht="18.75" customFormat="1" customHeight="1" s="389">
      <c r="A18" s="429" t="inlineStr">
        <is>
          <t>09</t>
        </is>
      </c>
      <c r="B18" s="430">
        <f>LEFT('Thông tin hoc sinh'!B11,LEN('Thông tin hoc sinh'!B11)-LEN(C18))</f>
        <v/>
      </c>
      <c r="C18" s="431">
        <f>RIGHT('Thông tin hoc sinh'!B11,LEN('Thông tin hoc sinh'!B11)-FIND("*",SUBSTITUTE('Thông tin hoc sinh'!B11," ","*",LEN('Thông tin hoc sinh'!B11)-LEN(SUBSTITUTE('Thông tin hoc sinh'!B11," ","")))))</f>
        <v/>
      </c>
      <c r="D18" s="432">
        <f>'Thông tin hoc sinh'!C11</f>
        <v/>
      </c>
      <c r="E18" s="432">
        <f>'Thông tin hoc sinh'!D11</f>
        <v/>
      </c>
      <c r="F18" s="432">
        <f>'Thông tin hoc sinh'!E11</f>
        <v/>
      </c>
      <c r="G18" s="432">
        <f>'Thông tin hoc sinh'!F11</f>
        <v/>
      </c>
      <c r="H18" s="432">
        <f>'Thông tin hoc sinh'!G11</f>
        <v/>
      </c>
      <c r="I18" s="433">
        <f>IF('Thông tin hoc sinh'!H11&gt;0,'Thông tin hoc sinh'!H11,"Không")</f>
        <v/>
      </c>
      <c r="J18" s="432">
        <f>'Thông tin hoc sinh'!J11</f>
        <v/>
      </c>
      <c r="K18" s="432">
        <f>'Thông tin hoc sinh'!L11</f>
        <v/>
      </c>
      <c r="L18" s="432">
        <f>'Thông tin hoc sinh'!M11</f>
        <v/>
      </c>
      <c r="M18" s="434" t="n"/>
    </row>
    <row r="19" ht="18.75" customFormat="1" customHeight="1" s="389">
      <c r="A19" s="429" t="inlineStr">
        <is>
          <t>10</t>
        </is>
      </c>
      <c r="B19" s="430">
        <f>LEFT('Thông tin hoc sinh'!B12,LEN('Thông tin hoc sinh'!B12)-LEN(C19))</f>
        <v/>
      </c>
      <c r="C19" s="431">
        <f>RIGHT('Thông tin hoc sinh'!B12,LEN('Thông tin hoc sinh'!B12)-FIND("*",SUBSTITUTE('Thông tin hoc sinh'!B12," ","*",LEN('Thông tin hoc sinh'!B12)-LEN(SUBSTITUTE('Thông tin hoc sinh'!B12," ","")))))</f>
        <v/>
      </c>
      <c r="D19" s="432">
        <f>'Thông tin hoc sinh'!C12</f>
        <v/>
      </c>
      <c r="E19" s="432">
        <f>'Thông tin hoc sinh'!D12</f>
        <v/>
      </c>
      <c r="F19" s="432">
        <f>'Thông tin hoc sinh'!E12</f>
        <v/>
      </c>
      <c r="G19" s="432">
        <f>'Thông tin hoc sinh'!F12</f>
        <v/>
      </c>
      <c r="H19" s="432">
        <f>'Thông tin hoc sinh'!G12</f>
        <v/>
      </c>
      <c r="I19" s="433">
        <f>IF('Thông tin hoc sinh'!H12&gt;0,'Thông tin hoc sinh'!H12,"Không")</f>
        <v/>
      </c>
      <c r="J19" s="432">
        <f>'Thông tin hoc sinh'!J12</f>
        <v/>
      </c>
      <c r="K19" s="432">
        <f>'Thông tin hoc sinh'!L12</f>
        <v/>
      </c>
      <c r="L19" s="432">
        <f>'Thông tin hoc sinh'!M12</f>
        <v/>
      </c>
      <c r="M19" s="434" t="n"/>
    </row>
    <row r="20" ht="18.75" customFormat="1" customHeight="1" s="389">
      <c r="A20" s="429" t="inlineStr">
        <is>
          <t>11</t>
        </is>
      </c>
      <c r="B20" s="430">
        <f>LEFT('Thông tin hoc sinh'!B13,LEN('Thông tin hoc sinh'!B13)-LEN(C20))</f>
        <v/>
      </c>
      <c r="C20" s="431">
        <f>RIGHT('Thông tin hoc sinh'!B13,LEN('Thông tin hoc sinh'!B13)-FIND("*",SUBSTITUTE('Thông tin hoc sinh'!B13," ","*",LEN('Thông tin hoc sinh'!B13)-LEN(SUBSTITUTE('Thông tin hoc sinh'!B13," ","")))))</f>
        <v/>
      </c>
      <c r="D20" s="432">
        <f>'Thông tin hoc sinh'!C13</f>
        <v/>
      </c>
      <c r="E20" s="432">
        <f>'Thông tin hoc sinh'!D13</f>
        <v/>
      </c>
      <c r="F20" s="432">
        <f>'Thông tin hoc sinh'!E13</f>
        <v/>
      </c>
      <c r="G20" s="432">
        <f>'Thông tin hoc sinh'!F13</f>
        <v/>
      </c>
      <c r="H20" s="432">
        <f>'Thông tin hoc sinh'!G13</f>
        <v/>
      </c>
      <c r="I20" s="433">
        <f>IF('Thông tin hoc sinh'!H13&gt;0,'Thông tin hoc sinh'!H13,"Không")</f>
        <v/>
      </c>
      <c r="J20" s="432">
        <f>'Thông tin hoc sinh'!J13</f>
        <v/>
      </c>
      <c r="K20" s="432">
        <f>'Thông tin hoc sinh'!L13</f>
        <v/>
      </c>
      <c r="L20" s="432">
        <f>'Thông tin hoc sinh'!M13</f>
        <v/>
      </c>
      <c r="M20" s="434" t="n"/>
    </row>
    <row r="21" ht="18.75" customFormat="1" customHeight="1" s="389">
      <c r="A21" s="429" t="inlineStr">
        <is>
          <t>12</t>
        </is>
      </c>
      <c r="B21" s="430">
        <f>LEFT('Thông tin hoc sinh'!B14,LEN('Thông tin hoc sinh'!B14)-LEN(C21))</f>
        <v/>
      </c>
      <c r="C21" s="431">
        <f>RIGHT('Thông tin hoc sinh'!B14,LEN('Thông tin hoc sinh'!B14)-FIND("*",SUBSTITUTE('Thông tin hoc sinh'!B14," ","*",LEN('Thông tin hoc sinh'!B14)-LEN(SUBSTITUTE('Thông tin hoc sinh'!B14," ","")))))</f>
        <v/>
      </c>
      <c r="D21" s="432">
        <f>'Thông tin hoc sinh'!C14</f>
        <v/>
      </c>
      <c r="E21" s="432">
        <f>'Thông tin hoc sinh'!D14</f>
        <v/>
      </c>
      <c r="F21" s="432">
        <f>'Thông tin hoc sinh'!E14</f>
        <v/>
      </c>
      <c r="G21" s="432">
        <f>'Thông tin hoc sinh'!F14</f>
        <v/>
      </c>
      <c r="H21" s="432">
        <f>'Thông tin hoc sinh'!G14</f>
        <v/>
      </c>
      <c r="I21" s="433">
        <f>IF('Thông tin hoc sinh'!H14&gt;0,'Thông tin hoc sinh'!H14,"Không")</f>
        <v/>
      </c>
      <c r="J21" s="432">
        <f>'Thông tin hoc sinh'!J14</f>
        <v/>
      </c>
      <c r="K21" s="432">
        <f>'Thông tin hoc sinh'!L14</f>
        <v/>
      </c>
      <c r="L21" s="432">
        <f>'Thông tin hoc sinh'!M14</f>
        <v/>
      </c>
      <c r="M21" s="434" t="n"/>
    </row>
    <row r="22" ht="18.75" customFormat="1" customHeight="1" s="389">
      <c r="A22" s="429" t="inlineStr">
        <is>
          <t>13</t>
        </is>
      </c>
      <c r="B22" s="430">
        <f>LEFT('Thông tin hoc sinh'!B15,LEN('Thông tin hoc sinh'!B15)-LEN(C22))</f>
        <v/>
      </c>
      <c r="C22" s="431">
        <f>RIGHT('Thông tin hoc sinh'!B15,LEN('Thông tin hoc sinh'!B15)-FIND("*",SUBSTITUTE('Thông tin hoc sinh'!B15," ","*",LEN('Thông tin hoc sinh'!B15)-LEN(SUBSTITUTE('Thông tin hoc sinh'!B15," ","")))))</f>
        <v/>
      </c>
      <c r="D22" s="432">
        <f>'Thông tin hoc sinh'!C15</f>
        <v/>
      </c>
      <c r="E22" s="432">
        <f>'Thông tin hoc sinh'!D15</f>
        <v/>
      </c>
      <c r="F22" s="432">
        <f>'Thông tin hoc sinh'!E15</f>
        <v/>
      </c>
      <c r="G22" s="432">
        <f>'Thông tin hoc sinh'!F15</f>
        <v/>
      </c>
      <c r="H22" s="432">
        <f>'Thông tin hoc sinh'!G15</f>
        <v/>
      </c>
      <c r="I22" s="433">
        <f>IF('Thông tin hoc sinh'!H15&gt;0,'Thông tin hoc sinh'!H15,"Không")</f>
        <v/>
      </c>
      <c r="J22" s="432">
        <f>'Thông tin hoc sinh'!J15</f>
        <v/>
      </c>
      <c r="K22" s="432">
        <f>'Thông tin hoc sinh'!L15</f>
        <v/>
      </c>
      <c r="L22" s="432">
        <f>'Thông tin hoc sinh'!M15</f>
        <v/>
      </c>
      <c r="M22" s="434" t="n"/>
    </row>
    <row r="23" ht="18.75" customFormat="1" customHeight="1" s="389">
      <c r="A23" s="429" t="inlineStr">
        <is>
          <t>14</t>
        </is>
      </c>
      <c r="B23" s="430">
        <f>LEFT('Thông tin hoc sinh'!B16,LEN('Thông tin hoc sinh'!B16)-LEN(C23))</f>
        <v/>
      </c>
      <c r="C23" s="431">
        <f>RIGHT('Thông tin hoc sinh'!B16,LEN('Thông tin hoc sinh'!B16)-FIND("*",SUBSTITUTE('Thông tin hoc sinh'!B16," ","*",LEN('Thông tin hoc sinh'!B16)-LEN(SUBSTITUTE('Thông tin hoc sinh'!B16," ","")))))</f>
        <v/>
      </c>
      <c r="D23" s="432">
        <f>'Thông tin hoc sinh'!C16</f>
        <v/>
      </c>
      <c r="E23" s="432">
        <f>'Thông tin hoc sinh'!D16</f>
        <v/>
      </c>
      <c r="F23" s="432">
        <f>'Thông tin hoc sinh'!E16</f>
        <v/>
      </c>
      <c r="G23" s="432">
        <f>'Thông tin hoc sinh'!F16</f>
        <v/>
      </c>
      <c r="H23" s="432">
        <f>'Thông tin hoc sinh'!G16</f>
        <v/>
      </c>
      <c r="I23" s="433">
        <f>IF('Thông tin hoc sinh'!H16&gt;0,'Thông tin hoc sinh'!H16,"Không")</f>
        <v/>
      </c>
      <c r="J23" s="432">
        <f>'Thông tin hoc sinh'!J16</f>
        <v/>
      </c>
      <c r="K23" s="432">
        <f>'Thông tin hoc sinh'!L16</f>
        <v/>
      </c>
      <c r="L23" s="432">
        <f>'Thông tin hoc sinh'!M16</f>
        <v/>
      </c>
      <c r="M23" s="434" t="n"/>
    </row>
    <row r="24" ht="18.75" customFormat="1" customHeight="1" s="389">
      <c r="A24" s="429" t="inlineStr">
        <is>
          <t>15</t>
        </is>
      </c>
      <c r="B24" s="430">
        <f>LEFT('Thông tin hoc sinh'!B17,LEN('Thông tin hoc sinh'!B17)-LEN(C24))</f>
        <v/>
      </c>
      <c r="C24" s="431">
        <f>RIGHT('Thông tin hoc sinh'!B17,LEN('Thông tin hoc sinh'!B17)-FIND("*",SUBSTITUTE('Thông tin hoc sinh'!B17," ","*",LEN('Thông tin hoc sinh'!B17)-LEN(SUBSTITUTE('Thông tin hoc sinh'!B17," ","")))))</f>
        <v/>
      </c>
      <c r="D24" s="432">
        <f>'Thông tin hoc sinh'!C17</f>
        <v/>
      </c>
      <c r="E24" s="432">
        <f>'Thông tin hoc sinh'!D17</f>
        <v/>
      </c>
      <c r="F24" s="432">
        <f>'Thông tin hoc sinh'!E17</f>
        <v/>
      </c>
      <c r="G24" s="432">
        <f>'Thông tin hoc sinh'!F17</f>
        <v/>
      </c>
      <c r="H24" s="432">
        <f>'Thông tin hoc sinh'!G17</f>
        <v/>
      </c>
      <c r="I24" s="433">
        <f>IF('Thông tin hoc sinh'!H17&gt;0,'Thông tin hoc sinh'!H17,"Không")</f>
        <v/>
      </c>
      <c r="J24" s="432">
        <f>'Thông tin hoc sinh'!J17</f>
        <v/>
      </c>
      <c r="K24" s="432">
        <f>'Thông tin hoc sinh'!L17</f>
        <v/>
      </c>
      <c r="L24" s="432">
        <f>'Thông tin hoc sinh'!M17</f>
        <v/>
      </c>
      <c r="M24" s="434" t="n"/>
    </row>
    <row r="25" ht="18.75" customFormat="1" customHeight="1" s="389">
      <c r="A25" s="429" t="inlineStr">
        <is>
          <t>16</t>
        </is>
      </c>
      <c r="B25" s="430">
        <f>LEFT('Thông tin hoc sinh'!B18,LEN('Thông tin hoc sinh'!B18)-LEN(C25))</f>
        <v/>
      </c>
      <c r="C25" s="431">
        <f>RIGHT('Thông tin hoc sinh'!B18,LEN('Thông tin hoc sinh'!B18)-FIND("*",SUBSTITUTE('Thông tin hoc sinh'!B18," ","*",LEN('Thông tin hoc sinh'!B18)-LEN(SUBSTITUTE('Thông tin hoc sinh'!B18," ","")))))</f>
        <v/>
      </c>
      <c r="D25" s="432">
        <f>'Thông tin hoc sinh'!C18</f>
        <v/>
      </c>
      <c r="E25" s="432">
        <f>'Thông tin hoc sinh'!D18</f>
        <v/>
      </c>
      <c r="F25" s="432">
        <f>'Thông tin hoc sinh'!E18</f>
        <v/>
      </c>
      <c r="G25" s="432">
        <f>'Thông tin hoc sinh'!F18</f>
        <v/>
      </c>
      <c r="H25" s="432">
        <f>'Thông tin hoc sinh'!G18</f>
        <v/>
      </c>
      <c r="I25" s="433">
        <f>IF('Thông tin hoc sinh'!H18&gt;0,'Thông tin hoc sinh'!H18,"Không")</f>
        <v/>
      </c>
      <c r="J25" s="432">
        <f>'Thông tin hoc sinh'!J18</f>
        <v/>
      </c>
      <c r="K25" s="432">
        <f>'Thông tin hoc sinh'!L18</f>
        <v/>
      </c>
      <c r="L25" s="432">
        <f>'Thông tin hoc sinh'!M18</f>
        <v/>
      </c>
      <c r="M25" s="434" t="n"/>
    </row>
    <row r="26" ht="18.75" customFormat="1" customHeight="1" s="389">
      <c r="A26" s="429" t="inlineStr">
        <is>
          <t>17</t>
        </is>
      </c>
      <c r="B26" s="430">
        <f>LEFT('Thông tin hoc sinh'!B19,LEN('Thông tin hoc sinh'!B19)-LEN(C26))</f>
        <v/>
      </c>
      <c r="C26" s="431">
        <f>RIGHT('Thông tin hoc sinh'!B19,LEN('Thông tin hoc sinh'!B19)-FIND("*",SUBSTITUTE('Thông tin hoc sinh'!B19," ","*",LEN('Thông tin hoc sinh'!B19)-LEN(SUBSTITUTE('Thông tin hoc sinh'!B19," ","")))))</f>
        <v/>
      </c>
      <c r="D26" s="432">
        <f>'Thông tin hoc sinh'!C19</f>
        <v/>
      </c>
      <c r="E26" s="432">
        <f>'Thông tin hoc sinh'!D19</f>
        <v/>
      </c>
      <c r="F26" s="432">
        <f>'Thông tin hoc sinh'!E19</f>
        <v/>
      </c>
      <c r="G26" s="432">
        <f>'Thông tin hoc sinh'!F19</f>
        <v/>
      </c>
      <c r="H26" s="432">
        <f>'Thông tin hoc sinh'!G19</f>
        <v/>
      </c>
      <c r="I26" s="433">
        <f>IF('Thông tin hoc sinh'!H19&gt;0,'Thông tin hoc sinh'!H19,"Không")</f>
        <v/>
      </c>
      <c r="J26" s="432">
        <f>'Thông tin hoc sinh'!J19</f>
        <v/>
      </c>
      <c r="K26" s="432">
        <f>'Thông tin hoc sinh'!L19</f>
        <v/>
      </c>
      <c r="L26" s="432">
        <f>'Thông tin hoc sinh'!M19</f>
        <v/>
      </c>
      <c r="M26" s="434" t="n"/>
    </row>
    <row r="27" ht="18.75" customFormat="1" customHeight="1" s="389">
      <c r="A27" s="429" t="inlineStr">
        <is>
          <t>18</t>
        </is>
      </c>
      <c r="B27" s="430">
        <f>LEFT('Thông tin hoc sinh'!B20,LEN('Thông tin hoc sinh'!B20)-LEN(C27))</f>
        <v/>
      </c>
      <c r="C27" s="431">
        <f>RIGHT('Thông tin hoc sinh'!B20,LEN('Thông tin hoc sinh'!B20)-FIND("*",SUBSTITUTE('Thông tin hoc sinh'!B20," ","*",LEN('Thông tin hoc sinh'!B20)-LEN(SUBSTITUTE('Thông tin hoc sinh'!B20," ","")))))</f>
        <v/>
      </c>
      <c r="D27" s="432">
        <f>'Thông tin hoc sinh'!C20</f>
        <v/>
      </c>
      <c r="E27" s="432">
        <f>'Thông tin hoc sinh'!D20</f>
        <v/>
      </c>
      <c r="F27" s="432">
        <f>'Thông tin hoc sinh'!E20</f>
        <v/>
      </c>
      <c r="G27" s="432">
        <f>'Thông tin hoc sinh'!F20</f>
        <v/>
      </c>
      <c r="H27" s="432">
        <f>'Thông tin hoc sinh'!G20</f>
        <v/>
      </c>
      <c r="I27" s="433">
        <f>IF('Thông tin hoc sinh'!H20&gt;0,'Thông tin hoc sinh'!H20,"Không")</f>
        <v/>
      </c>
      <c r="J27" s="432">
        <f>'Thông tin hoc sinh'!J20</f>
        <v/>
      </c>
      <c r="K27" s="432">
        <f>'Thông tin hoc sinh'!L20</f>
        <v/>
      </c>
      <c r="L27" s="432">
        <f>'Thông tin hoc sinh'!M20</f>
        <v/>
      </c>
      <c r="M27" s="434" t="n"/>
    </row>
    <row r="28" ht="18.75" customFormat="1" customHeight="1" s="389">
      <c r="A28" s="429" t="inlineStr">
        <is>
          <t>19</t>
        </is>
      </c>
      <c r="B28" s="430">
        <f>LEFT('Thông tin hoc sinh'!B21,LEN('Thông tin hoc sinh'!B21)-LEN(C28))</f>
        <v/>
      </c>
      <c r="C28" s="431">
        <f>RIGHT('Thông tin hoc sinh'!B21,LEN('Thông tin hoc sinh'!B21)-FIND("*",SUBSTITUTE('Thông tin hoc sinh'!B21," ","*",LEN('Thông tin hoc sinh'!B21)-LEN(SUBSTITUTE('Thông tin hoc sinh'!B21," ","")))))</f>
        <v/>
      </c>
      <c r="D28" s="432">
        <f>'Thông tin hoc sinh'!C21</f>
        <v/>
      </c>
      <c r="E28" s="432">
        <f>'Thông tin hoc sinh'!D21</f>
        <v/>
      </c>
      <c r="F28" s="432">
        <f>'Thông tin hoc sinh'!E21</f>
        <v/>
      </c>
      <c r="G28" s="432">
        <f>'Thông tin hoc sinh'!F21</f>
        <v/>
      </c>
      <c r="H28" s="432">
        <f>'Thông tin hoc sinh'!G21</f>
        <v/>
      </c>
      <c r="I28" s="433">
        <f>IF('Thông tin hoc sinh'!H21&gt;0,'Thông tin hoc sinh'!H21,"Không")</f>
        <v/>
      </c>
      <c r="J28" s="432">
        <f>'Thông tin hoc sinh'!J21</f>
        <v/>
      </c>
      <c r="K28" s="432">
        <f>'Thông tin hoc sinh'!L21</f>
        <v/>
      </c>
      <c r="L28" s="432">
        <f>'Thông tin hoc sinh'!M21</f>
        <v/>
      </c>
      <c r="M28" s="434" t="n"/>
    </row>
    <row r="29" ht="18.75" customFormat="1" customHeight="1" s="389">
      <c r="A29" s="429" t="inlineStr">
        <is>
          <t>20</t>
        </is>
      </c>
      <c r="B29" s="430">
        <f>LEFT('Thông tin hoc sinh'!B22,LEN('Thông tin hoc sinh'!B22)-LEN(C29))</f>
        <v/>
      </c>
      <c r="C29" s="431">
        <f>RIGHT('Thông tin hoc sinh'!B22,LEN('Thông tin hoc sinh'!B22)-FIND("*",SUBSTITUTE('Thông tin hoc sinh'!B22," ","*",LEN('Thông tin hoc sinh'!B22)-LEN(SUBSTITUTE('Thông tin hoc sinh'!B22," ","")))))</f>
        <v/>
      </c>
      <c r="D29" s="432">
        <f>'Thông tin hoc sinh'!C22</f>
        <v/>
      </c>
      <c r="E29" s="432">
        <f>'Thông tin hoc sinh'!D22</f>
        <v/>
      </c>
      <c r="F29" s="432">
        <f>'Thông tin hoc sinh'!E22</f>
        <v/>
      </c>
      <c r="G29" s="432">
        <f>'Thông tin hoc sinh'!F22</f>
        <v/>
      </c>
      <c r="H29" s="432">
        <f>'Thông tin hoc sinh'!G22</f>
        <v/>
      </c>
      <c r="I29" s="433">
        <f>IF('Thông tin hoc sinh'!H22&gt;0,'Thông tin hoc sinh'!H22,"Không")</f>
        <v/>
      </c>
      <c r="J29" s="432">
        <f>'Thông tin hoc sinh'!J22</f>
        <v/>
      </c>
      <c r="K29" s="432">
        <f>'Thông tin hoc sinh'!L22</f>
        <v/>
      </c>
      <c r="L29" s="432">
        <f>'Thông tin hoc sinh'!M22</f>
        <v/>
      </c>
      <c r="M29" s="434" t="n"/>
    </row>
    <row r="30" ht="18.75" customFormat="1" customHeight="1" s="389">
      <c r="A30" s="429" t="inlineStr">
        <is>
          <t>21</t>
        </is>
      </c>
      <c r="B30" s="430">
        <f>LEFT('Thông tin hoc sinh'!B23,LEN('Thông tin hoc sinh'!B23)-LEN(C30))</f>
        <v/>
      </c>
      <c r="C30" s="431">
        <f>RIGHT('Thông tin hoc sinh'!B23,LEN('Thông tin hoc sinh'!B23)-FIND("*",SUBSTITUTE('Thông tin hoc sinh'!B23," ","*",LEN('Thông tin hoc sinh'!B23)-LEN(SUBSTITUTE('Thông tin hoc sinh'!B23," ","")))))</f>
        <v/>
      </c>
      <c r="D30" s="432">
        <f>'Thông tin hoc sinh'!C23</f>
        <v/>
      </c>
      <c r="E30" s="432">
        <f>'Thông tin hoc sinh'!D23</f>
        <v/>
      </c>
      <c r="F30" s="432">
        <f>'Thông tin hoc sinh'!E23</f>
        <v/>
      </c>
      <c r="G30" s="432">
        <f>'Thông tin hoc sinh'!F23</f>
        <v/>
      </c>
      <c r="H30" s="432">
        <f>'Thông tin hoc sinh'!G23</f>
        <v/>
      </c>
      <c r="I30" s="433">
        <f>IF('Thông tin hoc sinh'!H23&gt;0,'Thông tin hoc sinh'!H23,"Không")</f>
        <v/>
      </c>
      <c r="J30" s="432">
        <f>'Thông tin hoc sinh'!J23</f>
        <v/>
      </c>
      <c r="K30" s="432">
        <f>'Thông tin hoc sinh'!L23</f>
        <v/>
      </c>
      <c r="L30" s="432">
        <f>'Thông tin hoc sinh'!M23</f>
        <v/>
      </c>
      <c r="M30" s="434" t="n"/>
    </row>
    <row r="31" ht="18.75" customFormat="1" customHeight="1" s="389">
      <c r="A31" s="429" t="inlineStr">
        <is>
          <t>22</t>
        </is>
      </c>
      <c r="B31" s="430">
        <f>LEFT('Thông tin hoc sinh'!B24,LEN('Thông tin hoc sinh'!B24)-LEN(C31))</f>
        <v/>
      </c>
      <c r="C31" s="431">
        <f>RIGHT('Thông tin hoc sinh'!B24,LEN('Thông tin hoc sinh'!B24)-FIND("*",SUBSTITUTE('Thông tin hoc sinh'!B24," ","*",LEN('Thông tin hoc sinh'!B24)-LEN(SUBSTITUTE('Thông tin hoc sinh'!B24," ","")))))</f>
        <v/>
      </c>
      <c r="D31" s="432">
        <f>'Thông tin hoc sinh'!C24</f>
        <v/>
      </c>
      <c r="E31" s="432">
        <f>'Thông tin hoc sinh'!D24</f>
        <v/>
      </c>
      <c r="F31" s="432">
        <f>'Thông tin hoc sinh'!E24</f>
        <v/>
      </c>
      <c r="G31" s="432">
        <f>'Thông tin hoc sinh'!F24</f>
        <v/>
      </c>
      <c r="H31" s="432">
        <f>'Thông tin hoc sinh'!G24</f>
        <v/>
      </c>
      <c r="I31" s="433">
        <f>IF('Thông tin hoc sinh'!H24&gt;0,'Thông tin hoc sinh'!H24,"Không")</f>
        <v/>
      </c>
      <c r="J31" s="432">
        <f>'Thông tin hoc sinh'!J24</f>
        <v/>
      </c>
      <c r="K31" s="432">
        <f>'Thông tin hoc sinh'!L24</f>
        <v/>
      </c>
      <c r="L31" s="432">
        <f>'Thông tin hoc sinh'!M24</f>
        <v/>
      </c>
      <c r="M31" s="434" t="n"/>
    </row>
    <row r="32" ht="18.75" customFormat="1" customHeight="1" s="389">
      <c r="A32" s="429" t="inlineStr">
        <is>
          <t>23</t>
        </is>
      </c>
      <c r="B32" s="430">
        <f>LEFT('Thông tin hoc sinh'!B25,LEN('Thông tin hoc sinh'!B25)-LEN(C32))</f>
        <v/>
      </c>
      <c r="C32" s="431">
        <f>RIGHT('Thông tin hoc sinh'!B25,LEN('Thông tin hoc sinh'!B25)-FIND("*",SUBSTITUTE('Thông tin hoc sinh'!B25," ","*",LEN('Thông tin hoc sinh'!B25)-LEN(SUBSTITUTE('Thông tin hoc sinh'!B25," ","")))))</f>
        <v/>
      </c>
      <c r="D32" s="432">
        <f>'Thông tin hoc sinh'!C25</f>
        <v/>
      </c>
      <c r="E32" s="432">
        <f>'Thông tin hoc sinh'!D25</f>
        <v/>
      </c>
      <c r="F32" s="432">
        <f>'Thông tin hoc sinh'!E25</f>
        <v/>
      </c>
      <c r="G32" s="432">
        <f>'Thông tin hoc sinh'!F25</f>
        <v/>
      </c>
      <c r="H32" s="432">
        <f>'Thông tin hoc sinh'!G25</f>
        <v/>
      </c>
      <c r="I32" s="433">
        <f>IF('Thông tin hoc sinh'!H25&gt;0,'Thông tin hoc sinh'!H25,"Không")</f>
        <v/>
      </c>
      <c r="J32" s="432">
        <f>'Thông tin hoc sinh'!J25</f>
        <v/>
      </c>
      <c r="K32" s="432">
        <f>'Thông tin hoc sinh'!L25</f>
        <v/>
      </c>
      <c r="L32" s="432">
        <f>'Thông tin hoc sinh'!M25</f>
        <v/>
      </c>
      <c r="M32" s="434" t="n"/>
    </row>
    <row r="33" ht="18.75" customFormat="1" customHeight="1" s="389">
      <c r="A33" s="429" t="inlineStr">
        <is>
          <t>24</t>
        </is>
      </c>
      <c r="B33" s="430">
        <f>LEFT('Thông tin hoc sinh'!B26,LEN('Thông tin hoc sinh'!B26)-LEN(C33))</f>
        <v/>
      </c>
      <c r="C33" s="431">
        <f>RIGHT('Thông tin hoc sinh'!B26,LEN('Thông tin hoc sinh'!B26)-FIND("*",SUBSTITUTE('Thông tin hoc sinh'!B26," ","*",LEN('Thông tin hoc sinh'!B26)-LEN(SUBSTITUTE('Thông tin hoc sinh'!B26," ","")))))</f>
        <v/>
      </c>
      <c r="D33" s="432">
        <f>'Thông tin hoc sinh'!C26</f>
        <v/>
      </c>
      <c r="E33" s="432">
        <f>'Thông tin hoc sinh'!D26</f>
        <v/>
      </c>
      <c r="F33" s="432">
        <f>'Thông tin hoc sinh'!E26</f>
        <v/>
      </c>
      <c r="G33" s="432">
        <f>'Thông tin hoc sinh'!F26</f>
        <v/>
      </c>
      <c r="H33" s="432">
        <f>'Thông tin hoc sinh'!G26</f>
        <v/>
      </c>
      <c r="I33" s="433">
        <f>IF('Thông tin hoc sinh'!H26&gt;0,'Thông tin hoc sinh'!H26,"Không")</f>
        <v/>
      </c>
      <c r="J33" s="432">
        <f>'Thông tin hoc sinh'!J26</f>
        <v/>
      </c>
      <c r="K33" s="432">
        <f>'Thông tin hoc sinh'!L26</f>
        <v/>
      </c>
      <c r="L33" s="432">
        <f>'Thông tin hoc sinh'!M26</f>
        <v/>
      </c>
      <c r="M33" s="434" t="n"/>
    </row>
    <row r="34" ht="18.75" customFormat="1" customHeight="1" s="389">
      <c r="A34" s="429" t="inlineStr">
        <is>
          <t>25</t>
        </is>
      </c>
      <c r="B34" s="430">
        <f>LEFT('Thông tin hoc sinh'!B27,LEN('Thông tin hoc sinh'!B27)-LEN(C34))</f>
        <v/>
      </c>
      <c r="C34" s="431">
        <f>RIGHT('Thông tin hoc sinh'!B27,LEN('Thông tin hoc sinh'!B27)-FIND("*",SUBSTITUTE('Thông tin hoc sinh'!B27," ","*",LEN('Thông tin hoc sinh'!B27)-LEN(SUBSTITUTE('Thông tin hoc sinh'!B27," ","")))))</f>
        <v/>
      </c>
      <c r="D34" s="432">
        <f>'Thông tin hoc sinh'!C27</f>
        <v/>
      </c>
      <c r="E34" s="432">
        <f>'Thông tin hoc sinh'!D27</f>
        <v/>
      </c>
      <c r="F34" s="432">
        <f>'Thông tin hoc sinh'!E27</f>
        <v/>
      </c>
      <c r="G34" s="432">
        <f>'Thông tin hoc sinh'!F27</f>
        <v/>
      </c>
      <c r="H34" s="432">
        <f>'Thông tin hoc sinh'!G27</f>
        <v/>
      </c>
      <c r="I34" s="433">
        <f>IF('Thông tin hoc sinh'!H27&gt;0,'Thông tin hoc sinh'!H27,"Không")</f>
        <v/>
      </c>
      <c r="J34" s="432">
        <f>'Thông tin hoc sinh'!J27</f>
        <v/>
      </c>
      <c r="K34" s="432">
        <f>'Thông tin hoc sinh'!L27</f>
        <v/>
      </c>
      <c r="L34" s="432">
        <f>'Thông tin hoc sinh'!M27</f>
        <v/>
      </c>
      <c r="M34" s="434" t="n"/>
    </row>
    <row r="35" ht="18.75" customFormat="1" customHeight="1" s="389">
      <c r="A35" s="429" t="inlineStr">
        <is>
          <t>26</t>
        </is>
      </c>
      <c r="B35" s="430">
        <f>LEFT('Thông tin hoc sinh'!B28,LEN('Thông tin hoc sinh'!B28)-LEN(C35))</f>
        <v/>
      </c>
      <c r="C35" s="431">
        <f>RIGHT('Thông tin hoc sinh'!B28,LEN('Thông tin hoc sinh'!B28)-FIND("*",SUBSTITUTE('Thông tin hoc sinh'!B28," ","*",LEN('Thông tin hoc sinh'!B28)-LEN(SUBSTITUTE('Thông tin hoc sinh'!B28," ","")))))</f>
        <v/>
      </c>
      <c r="D35" s="432">
        <f>'Thông tin hoc sinh'!C28</f>
        <v/>
      </c>
      <c r="E35" s="432">
        <f>'Thông tin hoc sinh'!D28</f>
        <v/>
      </c>
      <c r="F35" s="432">
        <f>'Thông tin hoc sinh'!E28</f>
        <v/>
      </c>
      <c r="G35" s="432">
        <f>'Thông tin hoc sinh'!F28</f>
        <v/>
      </c>
      <c r="H35" s="432">
        <f>'Thông tin hoc sinh'!G28</f>
        <v/>
      </c>
      <c r="I35" s="433">
        <f>IF('Thông tin hoc sinh'!H28&gt;0,'Thông tin hoc sinh'!H28,"Không")</f>
        <v/>
      </c>
      <c r="J35" s="432">
        <f>'Thông tin hoc sinh'!J28</f>
        <v/>
      </c>
      <c r="K35" s="432">
        <f>'Thông tin hoc sinh'!L28</f>
        <v/>
      </c>
      <c r="L35" s="432">
        <f>'Thông tin hoc sinh'!M28</f>
        <v/>
      </c>
      <c r="M35" s="434" t="n"/>
    </row>
    <row r="36" ht="18.75" customFormat="1" customHeight="1" s="389">
      <c r="A36" s="429" t="inlineStr">
        <is>
          <t>27</t>
        </is>
      </c>
      <c r="B36" s="430">
        <f>LEFT('Thông tin hoc sinh'!B29,LEN('Thông tin hoc sinh'!B29)-LEN(C36))</f>
        <v/>
      </c>
      <c r="C36" s="431">
        <f>RIGHT('Thông tin hoc sinh'!B29,LEN('Thông tin hoc sinh'!B29)-FIND("*",SUBSTITUTE('Thông tin hoc sinh'!B29," ","*",LEN('Thông tin hoc sinh'!B29)-LEN(SUBSTITUTE('Thông tin hoc sinh'!B29," ","")))))</f>
        <v/>
      </c>
      <c r="D36" s="432">
        <f>'Thông tin hoc sinh'!C29</f>
        <v/>
      </c>
      <c r="E36" s="432">
        <f>'Thông tin hoc sinh'!D29</f>
        <v/>
      </c>
      <c r="F36" s="432">
        <f>'Thông tin hoc sinh'!E29</f>
        <v/>
      </c>
      <c r="G36" s="432">
        <f>'Thông tin hoc sinh'!F29</f>
        <v/>
      </c>
      <c r="H36" s="432">
        <f>'Thông tin hoc sinh'!G29</f>
        <v/>
      </c>
      <c r="I36" s="433">
        <f>IF('Thông tin hoc sinh'!H29&gt;0,'Thông tin hoc sinh'!H29,"Không")</f>
        <v/>
      </c>
      <c r="J36" s="432">
        <f>'Thông tin hoc sinh'!J29</f>
        <v/>
      </c>
      <c r="K36" s="432">
        <f>'Thông tin hoc sinh'!L29</f>
        <v/>
      </c>
      <c r="L36" s="432">
        <f>'Thông tin hoc sinh'!M29</f>
        <v/>
      </c>
      <c r="M36" s="434" t="n"/>
    </row>
    <row r="37" ht="18.75" customFormat="1" customHeight="1" s="389">
      <c r="A37" s="429" t="inlineStr">
        <is>
          <t>28</t>
        </is>
      </c>
      <c r="B37" s="430">
        <f>LEFT('Thông tin hoc sinh'!B30,LEN('Thông tin hoc sinh'!B30)-LEN(C37))</f>
        <v/>
      </c>
      <c r="C37" s="431">
        <f>RIGHT('Thông tin hoc sinh'!B30,LEN('Thông tin hoc sinh'!B30)-FIND("*",SUBSTITUTE('Thông tin hoc sinh'!B30," ","*",LEN('Thông tin hoc sinh'!B30)-LEN(SUBSTITUTE('Thông tin hoc sinh'!B30," ","")))))</f>
        <v/>
      </c>
      <c r="D37" s="432">
        <f>'Thông tin hoc sinh'!C30</f>
        <v/>
      </c>
      <c r="E37" s="432">
        <f>'Thông tin hoc sinh'!D30</f>
        <v/>
      </c>
      <c r="F37" s="432">
        <f>'Thông tin hoc sinh'!E30</f>
        <v/>
      </c>
      <c r="G37" s="432">
        <f>'Thông tin hoc sinh'!F30</f>
        <v/>
      </c>
      <c r="H37" s="432">
        <f>'Thông tin hoc sinh'!G30</f>
        <v/>
      </c>
      <c r="I37" s="433">
        <f>IF('Thông tin hoc sinh'!H30&gt;0,'Thông tin hoc sinh'!H30,"Không")</f>
        <v/>
      </c>
      <c r="J37" s="432">
        <f>'Thông tin hoc sinh'!J30</f>
        <v/>
      </c>
      <c r="K37" s="432">
        <f>'Thông tin hoc sinh'!L30</f>
        <v/>
      </c>
      <c r="L37" s="432">
        <f>'Thông tin hoc sinh'!M30</f>
        <v/>
      </c>
      <c r="M37" s="434" t="n"/>
    </row>
    <row r="38" ht="18.75" customFormat="1" customHeight="1" s="389">
      <c r="A38" s="429" t="inlineStr">
        <is>
          <t>29</t>
        </is>
      </c>
      <c r="B38" s="430">
        <f>LEFT('Thông tin hoc sinh'!B31,LEN('Thông tin hoc sinh'!B31)-LEN(C38))</f>
        <v/>
      </c>
      <c r="C38" s="431">
        <f>RIGHT('Thông tin hoc sinh'!B31,LEN('Thông tin hoc sinh'!B31)-FIND("*",SUBSTITUTE('Thông tin hoc sinh'!B31," ","*",LEN('Thông tin hoc sinh'!B31)-LEN(SUBSTITUTE('Thông tin hoc sinh'!B31," ","")))))</f>
        <v/>
      </c>
      <c r="D38" s="432">
        <f>'Thông tin hoc sinh'!C31</f>
        <v/>
      </c>
      <c r="E38" s="432">
        <f>'Thông tin hoc sinh'!D31</f>
        <v/>
      </c>
      <c r="F38" s="432">
        <f>'Thông tin hoc sinh'!E31</f>
        <v/>
      </c>
      <c r="G38" s="432">
        <f>'Thông tin hoc sinh'!F31</f>
        <v/>
      </c>
      <c r="H38" s="432">
        <f>'Thông tin hoc sinh'!G31</f>
        <v/>
      </c>
      <c r="I38" s="433">
        <f>IF('Thông tin hoc sinh'!H31&gt;0,'Thông tin hoc sinh'!H31,"Không")</f>
        <v/>
      </c>
      <c r="J38" s="432">
        <f>'Thông tin hoc sinh'!J31</f>
        <v/>
      </c>
      <c r="K38" s="432">
        <f>'Thông tin hoc sinh'!L31</f>
        <v/>
      </c>
      <c r="L38" s="432">
        <f>'Thông tin hoc sinh'!M31</f>
        <v/>
      </c>
      <c r="M38" s="434" t="n"/>
    </row>
    <row r="39" ht="18.75" customFormat="1" customHeight="1" s="389">
      <c r="A39" s="429" t="inlineStr">
        <is>
          <t>30</t>
        </is>
      </c>
      <c r="B39" s="430">
        <f>LEFT('Thông tin hoc sinh'!B32,LEN('Thông tin hoc sinh'!B32)-LEN(C39))</f>
        <v/>
      </c>
      <c r="C39" s="431">
        <f>RIGHT('Thông tin hoc sinh'!B32,LEN('Thông tin hoc sinh'!B32)-FIND("*",SUBSTITUTE('Thông tin hoc sinh'!B32," ","*",LEN('Thông tin hoc sinh'!B32)-LEN(SUBSTITUTE('Thông tin hoc sinh'!B32," ","")))))</f>
        <v/>
      </c>
      <c r="D39" s="432">
        <f>'Thông tin hoc sinh'!C32</f>
        <v/>
      </c>
      <c r="E39" s="432">
        <f>'Thông tin hoc sinh'!D32</f>
        <v/>
      </c>
      <c r="F39" s="432">
        <f>'Thông tin hoc sinh'!E32</f>
        <v/>
      </c>
      <c r="G39" s="432">
        <f>'Thông tin hoc sinh'!F32</f>
        <v/>
      </c>
      <c r="H39" s="432">
        <f>'Thông tin hoc sinh'!G32</f>
        <v/>
      </c>
      <c r="I39" s="433">
        <f>IF('Thông tin hoc sinh'!H32&gt;0,'Thông tin hoc sinh'!H32,"Không")</f>
        <v/>
      </c>
      <c r="J39" s="432">
        <f>'Thông tin hoc sinh'!J32</f>
        <v/>
      </c>
      <c r="K39" s="432">
        <f>'Thông tin hoc sinh'!L32</f>
        <v/>
      </c>
      <c r="L39" s="432">
        <f>'Thông tin hoc sinh'!M32</f>
        <v/>
      </c>
      <c r="M39" s="434" t="n"/>
    </row>
    <row r="40" ht="18.75" customFormat="1" customHeight="1" s="389">
      <c r="A40" s="429" t="inlineStr">
        <is>
          <t>31</t>
        </is>
      </c>
      <c r="B40" s="430">
        <f>LEFT('Thông tin hoc sinh'!B33,LEN('Thông tin hoc sinh'!B33)-LEN(C40))</f>
        <v/>
      </c>
      <c r="C40" s="431">
        <f>RIGHT('Thông tin hoc sinh'!B33,LEN('Thông tin hoc sinh'!B33)-FIND("*",SUBSTITUTE('Thông tin hoc sinh'!B33," ","*",LEN('Thông tin hoc sinh'!B33)-LEN(SUBSTITUTE('Thông tin hoc sinh'!B33," ","")))))</f>
        <v/>
      </c>
      <c r="D40" s="432">
        <f>'Thông tin hoc sinh'!C33</f>
        <v/>
      </c>
      <c r="E40" s="432">
        <f>'Thông tin hoc sinh'!D33</f>
        <v/>
      </c>
      <c r="F40" s="432">
        <f>'Thông tin hoc sinh'!E33</f>
        <v/>
      </c>
      <c r="G40" s="432">
        <f>'Thông tin hoc sinh'!F33</f>
        <v/>
      </c>
      <c r="H40" s="432">
        <f>'Thông tin hoc sinh'!G33</f>
        <v/>
      </c>
      <c r="I40" s="433">
        <f>IF('Thông tin hoc sinh'!H33&gt;0,'Thông tin hoc sinh'!H33,"Không")</f>
        <v/>
      </c>
      <c r="J40" s="432">
        <f>'Thông tin hoc sinh'!J33</f>
        <v/>
      </c>
      <c r="K40" s="432">
        <f>'Thông tin hoc sinh'!L33</f>
        <v/>
      </c>
      <c r="L40" s="432">
        <f>'Thông tin hoc sinh'!M33</f>
        <v/>
      </c>
      <c r="M40" s="434" t="n"/>
    </row>
    <row r="41" ht="18.75" customFormat="1" customHeight="1" s="389">
      <c r="A41" s="429" t="inlineStr">
        <is>
          <t>32</t>
        </is>
      </c>
      <c r="B41" s="430">
        <f>LEFT('Thông tin hoc sinh'!B34,LEN('Thông tin hoc sinh'!B34)-LEN(C41))</f>
        <v/>
      </c>
      <c r="C41" s="431">
        <f>RIGHT('Thông tin hoc sinh'!B34,LEN('Thông tin hoc sinh'!B34)-FIND("*",SUBSTITUTE('Thông tin hoc sinh'!B34," ","*",LEN('Thông tin hoc sinh'!B34)-LEN(SUBSTITUTE('Thông tin hoc sinh'!B34," ","")))))</f>
        <v/>
      </c>
      <c r="D41" s="432">
        <f>'Thông tin hoc sinh'!C34</f>
        <v/>
      </c>
      <c r="E41" s="432">
        <f>'Thông tin hoc sinh'!D34</f>
        <v/>
      </c>
      <c r="F41" s="432">
        <f>'Thông tin hoc sinh'!E34</f>
        <v/>
      </c>
      <c r="G41" s="432">
        <f>'Thông tin hoc sinh'!F34</f>
        <v/>
      </c>
      <c r="H41" s="432">
        <f>'Thông tin hoc sinh'!G34</f>
        <v/>
      </c>
      <c r="I41" s="433">
        <f>IF('Thông tin hoc sinh'!H34&gt;0,'Thông tin hoc sinh'!H34,"Không")</f>
        <v/>
      </c>
      <c r="J41" s="432">
        <f>'Thông tin hoc sinh'!J34</f>
        <v/>
      </c>
      <c r="K41" s="432">
        <f>'Thông tin hoc sinh'!L34</f>
        <v/>
      </c>
      <c r="L41" s="432">
        <f>'Thông tin hoc sinh'!M34</f>
        <v/>
      </c>
      <c r="M41" s="434" t="n"/>
    </row>
    <row r="42" ht="18.75" customFormat="1" customHeight="1" s="389">
      <c r="A42" s="429" t="inlineStr">
        <is>
          <t>33</t>
        </is>
      </c>
      <c r="B42" s="430">
        <f>LEFT('Thông tin hoc sinh'!B35,LEN('Thông tin hoc sinh'!B35)-LEN(C42))</f>
        <v/>
      </c>
      <c r="C42" s="431">
        <f>RIGHT('Thông tin hoc sinh'!B35,LEN('Thông tin hoc sinh'!B35)-FIND("*",SUBSTITUTE('Thông tin hoc sinh'!B35," ","*",LEN('Thông tin hoc sinh'!B35)-LEN(SUBSTITUTE('Thông tin hoc sinh'!B35," ","")))))</f>
        <v/>
      </c>
      <c r="D42" s="432">
        <f>'Thông tin hoc sinh'!C35</f>
        <v/>
      </c>
      <c r="E42" s="432">
        <f>'Thông tin hoc sinh'!D35</f>
        <v/>
      </c>
      <c r="F42" s="432">
        <f>'Thông tin hoc sinh'!E35</f>
        <v/>
      </c>
      <c r="G42" s="432">
        <f>'Thông tin hoc sinh'!F35</f>
        <v/>
      </c>
      <c r="H42" s="432">
        <f>'Thông tin hoc sinh'!G35</f>
        <v/>
      </c>
      <c r="I42" s="433">
        <f>IF('Thông tin hoc sinh'!H35&gt;0,'Thông tin hoc sinh'!H35,"Không")</f>
        <v/>
      </c>
      <c r="J42" s="432">
        <f>'Thông tin hoc sinh'!J35</f>
        <v/>
      </c>
      <c r="K42" s="432">
        <f>'Thông tin hoc sinh'!L35</f>
        <v/>
      </c>
      <c r="L42" s="432">
        <f>'Thông tin hoc sinh'!M35</f>
        <v/>
      </c>
      <c r="M42" s="434" t="n"/>
    </row>
    <row r="43" ht="18.75" customFormat="1" customHeight="1" s="389">
      <c r="A43" s="429" t="inlineStr">
        <is>
          <t>34</t>
        </is>
      </c>
      <c r="B43" s="430">
        <f>LEFT('Thông tin hoc sinh'!B36,LEN('Thông tin hoc sinh'!B36)-LEN(C43))</f>
        <v/>
      </c>
      <c r="C43" s="431">
        <f>RIGHT('Thông tin hoc sinh'!B36,LEN('Thông tin hoc sinh'!B36)-FIND("*",SUBSTITUTE('Thông tin hoc sinh'!B36," ","*",LEN('Thông tin hoc sinh'!B36)-LEN(SUBSTITUTE('Thông tin hoc sinh'!B36," ","")))))</f>
        <v/>
      </c>
      <c r="D43" s="432">
        <f>'Thông tin hoc sinh'!C36</f>
        <v/>
      </c>
      <c r="E43" s="432">
        <f>'Thông tin hoc sinh'!D36</f>
        <v/>
      </c>
      <c r="F43" s="432">
        <f>'Thông tin hoc sinh'!E36</f>
        <v/>
      </c>
      <c r="G43" s="432">
        <f>'Thông tin hoc sinh'!F36</f>
        <v/>
      </c>
      <c r="H43" s="432">
        <f>'Thông tin hoc sinh'!G36</f>
        <v/>
      </c>
      <c r="I43" s="433">
        <f>IF('Thông tin hoc sinh'!H36&gt;0,'Thông tin hoc sinh'!H36,"Không")</f>
        <v/>
      </c>
      <c r="J43" s="432">
        <f>'Thông tin hoc sinh'!J36</f>
        <v/>
      </c>
      <c r="K43" s="432">
        <f>'Thông tin hoc sinh'!L36</f>
        <v/>
      </c>
      <c r="L43" s="432">
        <f>'Thông tin hoc sinh'!M36</f>
        <v/>
      </c>
      <c r="M43" s="434" t="n"/>
    </row>
    <row r="44" ht="18.75" customFormat="1" customHeight="1" s="389">
      <c r="A44" s="435" t="inlineStr">
        <is>
          <t>35</t>
        </is>
      </c>
      <c r="B44" s="436">
        <f>LEFT('Thông tin hoc sinh'!B37,LEN('Thông tin hoc sinh'!B37)-LEN(C44))</f>
        <v/>
      </c>
      <c r="C44" s="437">
        <f>RIGHT('Thông tin hoc sinh'!B37,LEN('Thông tin hoc sinh'!B37)-FIND("*",SUBSTITUTE('Thông tin hoc sinh'!B37," ","*",LEN('Thông tin hoc sinh'!B37)-LEN(SUBSTITUTE('Thông tin hoc sinh'!B37," ","")))))</f>
        <v/>
      </c>
      <c r="D44" s="438">
        <f>'Thông tin hoc sinh'!C37</f>
        <v/>
      </c>
      <c r="E44" s="438">
        <f>'Thông tin hoc sinh'!D37</f>
        <v/>
      </c>
      <c r="F44" s="438">
        <f>'Thông tin hoc sinh'!E37</f>
        <v/>
      </c>
      <c r="G44" s="438">
        <f>'Thông tin hoc sinh'!F37</f>
        <v/>
      </c>
      <c r="H44" s="438">
        <f>'Thông tin hoc sinh'!G37</f>
        <v/>
      </c>
      <c r="I44" s="439">
        <f>IF('Thông tin hoc sinh'!H37&gt;0,'Thông tin hoc sinh'!H37,"Không")</f>
        <v/>
      </c>
      <c r="J44" s="438">
        <f>'Thông tin hoc sinh'!J37</f>
        <v/>
      </c>
      <c r="K44" s="438">
        <f>'Thông tin hoc sinh'!L37</f>
        <v/>
      </c>
      <c r="L44" s="438">
        <f>'Thông tin hoc sinh'!M37</f>
        <v/>
      </c>
      <c r="M44" s="440" t="n"/>
    </row>
    <row r="45" ht="17.25" customFormat="1" customHeight="1" s="404">
      <c r="A45" s="441" t="n"/>
      <c r="B45" s="442" t="n"/>
      <c r="C45" s="443" t="n"/>
      <c r="D45" s="444" t="n"/>
      <c r="E45" s="444" t="n"/>
      <c r="F45" s="444" t="n"/>
      <c r="G45" s="444" t="n"/>
      <c r="H45" s="444" t="n"/>
      <c r="I45" s="445" t="n"/>
      <c r="J45" s="444" t="n"/>
      <c r="K45" s="444" t="n"/>
      <c r="L45" s="446" t="n"/>
      <c r="M45" s="447" t="n"/>
    </row>
    <row r="46" ht="15" customFormat="1" customHeight="1" s="448">
      <c r="A46" s="449">
        <f>"- Tổng số: "&amp;MENU!K4&amp;" học viên;"</f>
        <v/>
      </c>
      <c r="C46" s="449" t="n"/>
      <c r="D46" s="449" t="inlineStr">
        <is>
          <t xml:space="preserve"> Trong đó:</t>
        </is>
      </c>
      <c r="E46" s="449">
        <f>"+ Nam: "&amp;MENU!K4-MENU!K10&amp;" học viên;"</f>
        <v/>
      </c>
      <c r="F46" s="449" t="n"/>
      <c r="G46" s="449">
        <f>"+ Nữ: "&amp;MENU!K10&amp;" học viên;"</f>
        <v/>
      </c>
      <c r="H46" s="449" t="n"/>
      <c r="I46" s="449">
        <f>"+ DTTS: "&amp;MENU!K11&amp;" học viên;"</f>
        <v/>
      </c>
      <c r="J46" s="449" t="n"/>
      <c r="K46" s="449">
        <f>"+ Nữ DTTS: "&amp;MENU!K12&amp;" học viên; + Thanh niên: "&amp;MENU!K13&amp;" học viên; + Thanh niên DTTS: "&amp;MENU!K14&amp;" học viên"</f>
        <v/>
      </c>
      <c r="L46" s="449" t="n"/>
      <c r="M46" s="449" t="n"/>
    </row>
    <row r="47" ht="15" customFormat="1" customHeight="1" s="448">
      <c r="A47" s="450" t="inlineStr">
        <is>
          <t>- Nhóm đối tượng:</t>
        </is>
      </c>
      <c r="C47" s="450" t="n"/>
      <c r="M47" s="450" t="n"/>
    </row>
    <row r="48" ht="15" customFormat="1" customHeight="1" s="448">
      <c r="A48" s="451" t="n"/>
      <c r="B48" s="452">
        <f>"+ Nhóm đối tượng 1: "&amp;COUNTIFS('Thông tin hoc sinh'!I3:I37,"Người khuyết tật")&amp;" học viên, trong đó: Nữ: "&amp;COUNTIFS('Thông tin hoc sinh'!I3:I37,"Người khuyết tật",'Thông tin hoc sinh'!D3:D37,"Nữ")&amp;" học viên"</f>
        <v/>
      </c>
      <c r="C48" s="452" t="n"/>
      <c r="J48" s="453">
        <f>"+ Nhóm đối tượng 3: "&amp;COUNTIFS('Thông tin hoc sinh'!J3:J37,3)&amp;" học viên."</f>
        <v/>
      </c>
      <c r="M48" s="450" t="n"/>
    </row>
    <row r="49" ht="15" customFormat="1" customHeight="1" s="448">
      <c r="A49" s="451" t="n"/>
      <c r="B49" s="452">
        <f>"+ Nhóm đối tượng 2: "&amp;COUNTIFS('Thông tin hoc sinh'!J3:J37,2)&amp;" học viên. Trong đó:"</f>
        <v/>
      </c>
      <c r="C49" s="452" t="n"/>
      <c r="J49" s="448">
        <f>"Người DTTS: "&amp;COUNTIF('Thông tin hoc sinh'!I3:I37,"Người dân tộc thiểu số")&amp;" học viên."</f>
        <v/>
      </c>
      <c r="M49" s="450" t="n"/>
    </row>
    <row r="50" ht="15" customFormat="1" customHeight="1" s="448">
      <c r="A50" s="451" t="n"/>
      <c r="B50" s="454">
        <f>"Người thuộc hộ đồng bào DTTS nghèo: "&amp;COUNTIF('Thông tin hoc sinh'!I3:I37,"Người thuộc hộ dân tộc thiểu số nghèo")&amp;" học viên."</f>
        <v/>
      </c>
      <c r="J50" s="448">
        <f>"Người được hưởng chính sách có công với cách mạng: "&amp;COUNTIF('Thông tin hoc sinh'!I3:I37,"Người thuộc diện được hưởng chính sách ưu đãi người có công với cách mạng")&amp;" học viên."</f>
        <v/>
      </c>
      <c r="M50" s="449" t="n"/>
    </row>
    <row r="51" ht="15" customFormat="1" customHeight="1" s="448">
      <c r="A51" s="451" t="n"/>
      <c r="B51" s="455">
        <f>"Người thuộc hộ nghèo ở các xã, thôn ĐBKK:  "&amp;COUNTIF('Thông tin hoc sinh'!I3:I37,"Người thuộc hộ nghèo ở các xã, thôn, bản đặc biệt khó khăn")&amp;" học viên."</f>
        <v/>
      </c>
      <c r="J51" s="448">
        <f>"Người thuộc hộ nghèo: "&amp;COUNTIF('Thông tin hoc sinh'!I3:I37,"Người thuộc hộ nghèo")&amp;" học viên."</f>
        <v/>
      </c>
      <c r="M51" s="449" t="n"/>
    </row>
    <row r="52" ht="15" customFormat="1" customHeight="1" s="448">
      <c r="A52" s="451" t="n"/>
      <c r="J52" s="448">
        <f>"Lao động thuộc diện thu hồi đất nông nghiệp, đất kinh doanh: "&amp;COUNTIF('Thông tin hoc sinh'!I3:I37,"Người thuộc hộ gia đình bị thu hồi đất nông nghiệp, đất kinh doanh")&amp;" học viên."</f>
        <v/>
      </c>
      <c r="M52" s="449" t="n"/>
    </row>
    <row r="53" ht="15" customFormat="1" customHeight="1" s="448">
      <c r="A53" s="451" t="n"/>
      <c r="J53" s="448">
        <f>"Người lao động nữ bị mất việc làm: "&amp;COUNTIF('Thông tin hoc sinh'!I3:I37,"lao động nữ bị mất việc làm")&amp;" học viên."</f>
        <v/>
      </c>
      <c r="M53" s="449" t="n"/>
    </row>
    <row r="54" ht="15" customFormat="1" customHeight="1" s="448">
      <c r="A54" s="451" t="n"/>
      <c r="B54" s="453">
        <f>"+ Nhóm đối tượng 4: "&amp;COUNTIFS('Thông tin hoc sinh'!J3:J37,4)&amp;" học viên."</f>
        <v/>
      </c>
      <c r="J54" s="456">
        <f>"+ Nhóm đối tượng 5:  "&amp;COUNTIFS('Thông tin hoc sinh'!J3:J37,5)&amp;" học viên."</f>
        <v/>
      </c>
      <c r="M54" s="449" t="n"/>
    </row>
    <row r="55" ht="4.5" customFormat="1" customHeight="1" s="448">
      <c r="A55" s="451" t="n"/>
      <c r="K55" s="456" t="n"/>
      <c r="M55" s="449" t="n"/>
    </row>
    <row r="56" ht="18" customFormat="1" customHeight="1" s="457">
      <c r="A56" s="458" t="n"/>
      <c r="K56" s="459">
        <f>"Đăk Tô, ngày ..… tháng ….. năm "&amp;MENU!E5</f>
        <v/>
      </c>
    </row>
    <row r="57" ht="18.75" customHeight="1" s="335">
      <c r="A57" s="373" t="n"/>
      <c r="B57" s="460" t="inlineStr">
        <is>
          <t>TỔ ĐÀO TẠO NGHỀ - HƯỚNG NGHIỆP</t>
        </is>
      </c>
      <c r="G57" s="460" t="n"/>
      <c r="H57" s="460" t="n"/>
      <c r="K57" s="460" t="inlineStr">
        <is>
          <t>TRUNG TÂM GDNN-GDTX HUYỆN ĐĂK TÔ</t>
        </is>
      </c>
    </row>
    <row r="58" ht="15.75" customHeight="1" s="335">
      <c r="A58" s="373" t="n"/>
      <c r="B58" s="460" t="n"/>
      <c r="C58" s="460" t="n"/>
      <c r="D58" s="460" t="n"/>
      <c r="E58" s="460" t="n"/>
      <c r="F58" s="460" t="n"/>
      <c r="G58" s="460" t="n"/>
      <c r="H58" s="460" t="n"/>
      <c r="K58" s="460" t="n"/>
      <c r="L58" s="460" t="n"/>
    </row>
    <row r="59" ht="16.5" customHeight="1" s="335">
      <c r="A59" s="373" t="n"/>
      <c r="B59" s="460" t="n"/>
      <c r="C59" s="460" t="n"/>
      <c r="D59" s="460" t="n"/>
      <c r="E59" s="460" t="n"/>
      <c r="F59" s="460" t="n"/>
      <c r="G59" s="460" t="n"/>
      <c r="H59" s="460" t="n"/>
      <c r="K59" s="460" t="n"/>
      <c r="L59" s="460" t="n"/>
    </row>
    <row r="60" ht="30" customHeight="1" s="335">
      <c r="A60" s="373" t="n"/>
      <c r="B60" s="460" t="n"/>
      <c r="C60" s="460" t="n"/>
      <c r="D60" s="460" t="n"/>
      <c r="E60" s="460" t="n"/>
      <c r="F60" s="460" t="n"/>
      <c r="G60" s="460" t="n"/>
      <c r="H60" s="460" t="n"/>
      <c r="K60" s="460" t="n"/>
      <c r="L60" s="460" t="n"/>
    </row>
    <row r="61" ht="26.25" customHeight="1" s="335">
      <c r="A61" s="373" t="n"/>
      <c r="B61" s="460" t="n"/>
      <c r="G61" s="460" t="n"/>
      <c r="H61" s="460" t="n"/>
      <c r="K61" s="460" t="n"/>
      <c r="L61" s="460" t="n"/>
    </row>
    <row r="62" ht="18.75" customHeight="1" s="335">
      <c r="B62" s="417">
        <f>"UBND XÃ "&amp;UPPER(MENU!E6)</f>
        <v/>
      </c>
      <c r="G62" s="417" t="n"/>
      <c r="H62" s="417" t="n"/>
      <c r="J62" s="461" t="n"/>
      <c r="K62" s="462">
        <f>IF(MENU!E8="Phi nông nghiệp","PHÒNG LAO ĐỘNG - TBXH HUYỆN ","PHÒNG NÔNG NGHIỆP VÀ PTNT HUYỆN ")&amp;UPPER(MENU!E7)</f>
        <v/>
      </c>
    </row>
    <row r="64" ht="15.75" customHeight="1" s="335">
      <c r="D64" s="375" t="n"/>
    </row>
    <row r="65" ht="15.75" customHeight="1" s="335">
      <c r="D65" s="375" t="n"/>
    </row>
    <row r="66" ht="15.75" customHeight="1" s="335">
      <c r="D66" s="375" t="n"/>
    </row>
    <row r="67" ht="15.75" customHeight="1" s="335">
      <c r="D67" s="375" t="n"/>
    </row>
    <row r="68" ht="15.75" customHeight="1" s="335">
      <c r="D68" s="375" t="n"/>
    </row>
    <row r="69" ht="15.75" customHeight="1" s="335">
      <c r="D69" s="375" t="n"/>
    </row>
    <row r="70" ht="15.75" customHeight="1" s="335">
      <c r="D70" s="375" t="n"/>
    </row>
    <row r="71" ht="15.75" customHeight="1" s="335">
      <c r="D71" s="375" t="n"/>
    </row>
    <row r="72" ht="15.75" customHeight="1" s="335">
      <c r="D72" s="375" t="n"/>
    </row>
    <row r="73" ht="15.75" customHeight="1" s="335">
      <c r="D73" s="375" t="n"/>
    </row>
  </sheetData>
  <mergeCells count="13">
    <mergeCell ref="A5:M5"/>
    <mergeCell ref="B62:F62"/>
    <mergeCell ref="A8:M8"/>
    <mergeCell ref="K2:L2"/>
    <mergeCell ref="A6:M6"/>
    <mergeCell ref="K1:L1"/>
    <mergeCell ref="K57:L57"/>
    <mergeCell ref="B9:C9"/>
    <mergeCell ref="B61:F61"/>
    <mergeCell ref="A7:M7"/>
    <mergeCell ref="K62:L62"/>
    <mergeCell ref="B57:F57"/>
    <mergeCell ref="K56:L56"/>
  </mergeCells>
  <printOptions horizontalCentered="0" verticalCentered="0" headings="0" gridLines="0" gridLinesSet="1"/>
  <pageMargins left="0.354166666666667" right="0.236111111111111" top="0.472222222222222" bottom="0.551388888888889" header="0.511811023622047" footer="0.511811023622047"/>
  <pageSetup orientation="landscape" paperSize="9" scale="100" fitToHeight="2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M70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E5" activeCellId="0" sqref="E5"/>
    </sheetView>
  </sheetViews>
  <sheetFormatPr baseColWidth="8" defaultColWidth="8.99609375" defaultRowHeight="15.75" zeroHeight="0" outlineLevelRow="0"/>
  <cols>
    <col width="3.99" customWidth="1" style="373" min="1" max="1"/>
    <col width="8.359999999999999" customWidth="1" style="375" min="2" max="2"/>
    <col width="7.5" customWidth="1" style="375" min="3" max="3"/>
    <col width="5.74" customWidth="1" style="374" min="4" max="4"/>
    <col width="10.74" customWidth="1" style="375" min="5" max="5"/>
    <col width="3.12" customWidth="1" style="375" min="6" max="37"/>
    <col width="8.99" customWidth="1" style="375" min="38" max="38"/>
    <col width="8.99" customWidth="1" style="463" min="39" max="39"/>
    <col width="8.99" customWidth="1" style="375" min="40" max="257"/>
  </cols>
  <sheetData>
    <row r="1" ht="18.75" customHeight="1" s="335">
      <c r="A1" s="464" t="inlineStr">
        <is>
          <t>THEO DÕI NGÀY THỰC HỌC CỦA HỌC VIÊN</t>
        </is>
      </c>
    </row>
    <row r="2" ht="7.5" customHeight="1" s="335"/>
    <row r="3" ht="15.75" customHeight="1" s="335">
      <c r="A3" s="422" t="inlineStr">
        <is>
          <t>Số
TT</t>
        </is>
      </c>
      <c r="B3" s="465" t="inlineStr">
        <is>
          <t>Họ và tên</t>
        </is>
      </c>
      <c r="C3" s="466" t="n"/>
      <c r="D3" s="421" t="inlineStr">
        <is>
          <t>Sinh
năm</t>
        </is>
      </c>
      <c r="E3" s="422" t="inlineStr">
        <is>
          <t>Nơi
cư trú</t>
        </is>
      </c>
      <c r="F3" s="467" t="n"/>
      <c r="G3" s="342" t="n"/>
      <c r="H3" s="467" t="n"/>
      <c r="I3" s="342" t="n"/>
      <c r="J3" s="467" t="n"/>
      <c r="K3" s="342" t="n"/>
      <c r="L3" s="467" t="n"/>
      <c r="M3" s="342" t="n"/>
      <c r="N3" s="467" t="n"/>
      <c r="O3" s="342" t="n"/>
      <c r="P3" s="467" t="n"/>
      <c r="Q3" s="342" t="n"/>
      <c r="R3" s="467" t="n"/>
      <c r="S3" s="342" t="n"/>
      <c r="T3" s="467" t="n"/>
      <c r="U3" s="342" t="n"/>
      <c r="V3" s="467" t="n"/>
      <c r="W3" s="342" t="n"/>
      <c r="X3" s="467" t="n"/>
      <c r="Y3" s="342" t="n"/>
      <c r="Z3" s="467" t="n"/>
      <c r="AA3" s="342" t="n"/>
      <c r="AB3" s="467" t="n"/>
      <c r="AC3" s="342" t="n"/>
      <c r="AD3" s="467" t="n"/>
      <c r="AE3" s="342" t="n"/>
      <c r="AF3" s="467" t="n"/>
      <c r="AG3" s="342" t="n"/>
      <c r="AH3" s="467" t="n"/>
      <c r="AI3" s="342" t="n"/>
      <c r="AJ3" s="467" t="n"/>
      <c r="AK3" s="342" t="n"/>
    </row>
    <row r="4" ht="15.75" customHeight="1" s="335">
      <c r="A4" s="357" t="n"/>
      <c r="B4" s="468" t="n"/>
      <c r="C4" s="469" t="n"/>
      <c r="D4" s="357" t="n"/>
      <c r="E4" s="357" t="n"/>
      <c r="F4" s="470" t="inlineStr">
        <is>
          <t>S</t>
        </is>
      </c>
      <c r="G4" s="471" t="inlineStr">
        <is>
          <t>C</t>
        </is>
      </c>
      <c r="H4" s="470" t="inlineStr">
        <is>
          <t>S</t>
        </is>
      </c>
      <c r="I4" s="471" t="inlineStr">
        <is>
          <t>C</t>
        </is>
      </c>
      <c r="J4" s="470" t="inlineStr">
        <is>
          <t>S</t>
        </is>
      </c>
      <c r="K4" s="471" t="inlineStr">
        <is>
          <t>C</t>
        </is>
      </c>
      <c r="L4" s="470" t="inlineStr">
        <is>
          <t>S</t>
        </is>
      </c>
      <c r="M4" s="471" t="inlineStr">
        <is>
          <t>C</t>
        </is>
      </c>
      <c r="N4" s="470" t="inlineStr">
        <is>
          <t>S</t>
        </is>
      </c>
      <c r="O4" s="471" t="inlineStr">
        <is>
          <t>C</t>
        </is>
      </c>
      <c r="P4" s="470" t="inlineStr">
        <is>
          <t>S</t>
        </is>
      </c>
      <c r="Q4" s="471" t="inlineStr">
        <is>
          <t>C</t>
        </is>
      </c>
      <c r="R4" s="470" t="inlineStr">
        <is>
          <t>S</t>
        </is>
      </c>
      <c r="S4" s="471" t="inlineStr">
        <is>
          <t>C</t>
        </is>
      </c>
      <c r="T4" s="470" t="inlineStr">
        <is>
          <t>S</t>
        </is>
      </c>
      <c r="U4" s="471" t="inlineStr">
        <is>
          <t>C</t>
        </is>
      </c>
      <c r="V4" s="470" t="inlineStr">
        <is>
          <t>S</t>
        </is>
      </c>
      <c r="W4" s="471" t="inlineStr">
        <is>
          <t>C</t>
        </is>
      </c>
      <c r="X4" s="470" t="inlineStr">
        <is>
          <t>S</t>
        </is>
      </c>
      <c r="Y4" s="471" t="inlineStr">
        <is>
          <t>C</t>
        </is>
      </c>
      <c r="Z4" s="470" t="inlineStr">
        <is>
          <t>S</t>
        </is>
      </c>
      <c r="AA4" s="471" t="inlineStr">
        <is>
          <t>C</t>
        </is>
      </c>
      <c r="AB4" s="470" t="inlineStr">
        <is>
          <t>S</t>
        </is>
      </c>
      <c r="AC4" s="471" t="inlineStr">
        <is>
          <t>C</t>
        </is>
      </c>
      <c r="AD4" s="470" t="inlineStr">
        <is>
          <t>S</t>
        </is>
      </c>
      <c r="AE4" s="471" t="inlineStr">
        <is>
          <t>C</t>
        </is>
      </c>
      <c r="AF4" s="470" t="inlineStr">
        <is>
          <t>S</t>
        </is>
      </c>
      <c r="AG4" s="471" t="inlineStr">
        <is>
          <t>C</t>
        </is>
      </c>
      <c r="AH4" s="470" t="inlineStr">
        <is>
          <t>S</t>
        </is>
      </c>
      <c r="AI4" s="471" t="inlineStr">
        <is>
          <t>C</t>
        </is>
      </c>
      <c r="AJ4" s="470" t="inlineStr">
        <is>
          <t>S</t>
        </is>
      </c>
      <c r="AK4" s="471" t="inlineStr">
        <is>
          <t>C</t>
        </is>
      </c>
    </row>
    <row r="5" ht="18.75" customHeight="1" s="335">
      <c r="A5" s="472" t="n">
        <v>1</v>
      </c>
      <c r="B5" s="424">
        <f>DSTN!B10</f>
        <v/>
      </c>
      <c r="C5" s="425">
        <f>DSTN!C10</f>
        <v/>
      </c>
      <c r="D5" s="425">
        <f>DSTN!D10</f>
        <v/>
      </c>
      <c r="E5" s="473">
        <f>LEFT('Thông tin hoc sinh'!M3,LEN('Thông tin hoc sinh'!M3)-FIND("*",SUBSTITUTE('Thông tin hoc sinh'!M3,", ","*",LEN('Thông tin hoc sinh'!M3)-LEN(SUBSTITUTE('Thông tin hoc sinh'!M3,",","")))))</f>
        <v/>
      </c>
      <c r="F5" s="474" t="n"/>
      <c r="G5" s="475" t="n"/>
      <c r="H5" s="474" t="n"/>
      <c r="I5" s="475" t="n"/>
      <c r="J5" s="474" t="n"/>
      <c r="K5" s="475" t="n"/>
      <c r="L5" s="474" t="n"/>
      <c r="M5" s="475" t="n"/>
      <c r="N5" s="474" t="n"/>
      <c r="O5" s="475" t="n"/>
      <c r="P5" s="474" t="n"/>
      <c r="Q5" s="475" t="n"/>
      <c r="R5" s="474" t="n"/>
      <c r="S5" s="475" t="n"/>
      <c r="T5" s="474" t="n"/>
      <c r="U5" s="475" t="n"/>
      <c r="V5" s="474" t="n"/>
      <c r="W5" s="475" t="n"/>
      <c r="X5" s="474" t="n"/>
      <c r="Y5" s="475" t="n"/>
      <c r="Z5" s="474" t="n"/>
      <c r="AA5" s="475" t="n"/>
      <c r="AB5" s="474" t="n"/>
      <c r="AC5" s="475" t="n"/>
      <c r="AD5" s="474" t="n"/>
      <c r="AE5" s="475" t="n"/>
      <c r="AF5" s="474" t="n"/>
      <c r="AG5" s="475" t="n"/>
      <c r="AH5" s="474" t="n"/>
      <c r="AI5" s="475" t="n"/>
      <c r="AJ5" s="474" t="n"/>
      <c r="AK5" s="475" t="n"/>
    </row>
    <row r="6" ht="18.75" customHeight="1" s="335">
      <c r="A6" s="476" t="n">
        <v>2</v>
      </c>
      <c r="B6" s="424">
        <f>DSTN!B11</f>
        <v/>
      </c>
      <c r="C6" s="425">
        <f>DSTN!C11</f>
        <v/>
      </c>
      <c r="D6" s="425">
        <f>DSTN!D11</f>
        <v/>
      </c>
      <c r="E6" s="473">
        <f>LEFT('Thông tin hoc sinh'!M4,LEN('Thông tin hoc sinh'!M4)-FIND("*",SUBSTITUTE('Thông tin hoc sinh'!M4,", ","*",LEN('Thông tin hoc sinh'!M4)-LEN(SUBSTITUTE('Thông tin hoc sinh'!M4,",","")))))</f>
        <v/>
      </c>
      <c r="F6" s="477" t="n"/>
      <c r="G6" s="478" t="n"/>
      <c r="H6" s="477" t="n"/>
      <c r="I6" s="478" t="n"/>
      <c r="J6" s="477" t="n"/>
      <c r="K6" s="478" t="n"/>
      <c r="L6" s="477" t="n"/>
      <c r="M6" s="478" t="n"/>
      <c r="N6" s="477" t="n"/>
      <c r="O6" s="478" t="n"/>
      <c r="P6" s="477" t="n"/>
      <c r="Q6" s="478" t="n"/>
      <c r="R6" s="477" t="n"/>
      <c r="S6" s="478" t="n"/>
      <c r="T6" s="477" t="n"/>
      <c r="U6" s="478" t="n"/>
      <c r="V6" s="477" t="n"/>
      <c r="W6" s="478" t="n"/>
      <c r="X6" s="477" t="n"/>
      <c r="Y6" s="478" t="n"/>
      <c r="Z6" s="477" t="n"/>
      <c r="AA6" s="478" t="n"/>
      <c r="AB6" s="477" t="n"/>
      <c r="AC6" s="478" t="n"/>
      <c r="AD6" s="477" t="n"/>
      <c r="AE6" s="478" t="n"/>
      <c r="AF6" s="477" t="n"/>
      <c r="AG6" s="478" t="n"/>
      <c r="AH6" s="477" t="n"/>
      <c r="AI6" s="478" t="n"/>
      <c r="AJ6" s="477" t="n"/>
      <c r="AK6" s="478" t="n"/>
    </row>
    <row r="7" ht="18.75" customHeight="1" s="335">
      <c r="A7" s="476" t="n">
        <v>3</v>
      </c>
      <c r="B7" s="424">
        <f>DSTN!B12</f>
        <v/>
      </c>
      <c r="C7" s="425">
        <f>DSTN!C12</f>
        <v/>
      </c>
      <c r="D7" s="425">
        <f>DSTN!D12</f>
        <v/>
      </c>
      <c r="E7" s="473">
        <f>LEFT('Thông tin hoc sinh'!M5,LEN('Thông tin hoc sinh'!M5)-FIND("*",SUBSTITUTE('Thông tin hoc sinh'!M5,", ","*",LEN('Thông tin hoc sinh'!M5)-LEN(SUBSTITUTE('Thông tin hoc sinh'!M5,",","")))))</f>
        <v/>
      </c>
      <c r="F7" s="477" t="n"/>
      <c r="G7" s="478" t="n"/>
      <c r="H7" s="477" t="n"/>
      <c r="I7" s="478" t="n"/>
      <c r="J7" s="477" t="n"/>
      <c r="K7" s="478" t="n"/>
      <c r="L7" s="477" t="n"/>
      <c r="M7" s="478" t="n"/>
      <c r="N7" s="477" t="n"/>
      <c r="O7" s="478" t="n"/>
      <c r="P7" s="477" t="n"/>
      <c r="Q7" s="478" t="n"/>
      <c r="R7" s="477" t="n"/>
      <c r="S7" s="478" t="n"/>
      <c r="T7" s="477" t="n"/>
      <c r="U7" s="478" t="n"/>
      <c r="V7" s="477" t="n"/>
      <c r="W7" s="478" t="n"/>
      <c r="X7" s="477" t="n"/>
      <c r="Y7" s="478" t="n"/>
      <c r="Z7" s="477" t="n"/>
      <c r="AA7" s="478" t="n"/>
      <c r="AB7" s="477" t="n"/>
      <c r="AC7" s="478" t="n"/>
      <c r="AD7" s="477" t="n"/>
      <c r="AE7" s="478" t="n"/>
      <c r="AF7" s="477" t="n"/>
      <c r="AG7" s="478" t="n"/>
      <c r="AH7" s="477" t="n"/>
      <c r="AI7" s="478" t="n"/>
      <c r="AJ7" s="477" t="n"/>
      <c r="AK7" s="478" t="n"/>
    </row>
    <row r="8" ht="18.75" customHeight="1" s="335">
      <c r="A8" s="476" t="n">
        <v>4</v>
      </c>
      <c r="B8" s="424">
        <f>DSTN!B13</f>
        <v/>
      </c>
      <c r="C8" s="425">
        <f>DSTN!C13</f>
        <v/>
      </c>
      <c r="D8" s="425">
        <f>DSTN!D13</f>
        <v/>
      </c>
      <c r="E8" s="473">
        <f>LEFT('Thông tin hoc sinh'!M6,LEN('Thông tin hoc sinh'!M6)-FIND("*",SUBSTITUTE('Thông tin hoc sinh'!M6,", ","*",LEN('Thông tin hoc sinh'!M6)-LEN(SUBSTITUTE('Thông tin hoc sinh'!M6,",","")))))</f>
        <v/>
      </c>
      <c r="F8" s="477" t="n"/>
      <c r="G8" s="478" t="n"/>
      <c r="H8" s="477" t="n"/>
      <c r="I8" s="478" t="n"/>
      <c r="J8" s="477" t="n"/>
      <c r="K8" s="478" t="n"/>
      <c r="L8" s="477" t="n"/>
      <c r="M8" s="478" t="n"/>
      <c r="N8" s="477" t="n"/>
      <c r="O8" s="478" t="n"/>
      <c r="P8" s="477" t="n"/>
      <c r="Q8" s="478" t="n"/>
      <c r="R8" s="477" t="n"/>
      <c r="S8" s="478" t="n"/>
      <c r="T8" s="477" t="n"/>
      <c r="U8" s="478" t="n"/>
      <c r="V8" s="477" t="n"/>
      <c r="W8" s="478" t="n"/>
      <c r="X8" s="477" t="n"/>
      <c r="Y8" s="478" t="n"/>
      <c r="Z8" s="477" t="n"/>
      <c r="AA8" s="478" t="n"/>
      <c r="AB8" s="477" t="n"/>
      <c r="AC8" s="478" t="n"/>
      <c r="AD8" s="477" t="n"/>
      <c r="AE8" s="478" t="n"/>
      <c r="AF8" s="477" t="n"/>
      <c r="AG8" s="478" t="n"/>
      <c r="AH8" s="477" t="n"/>
      <c r="AI8" s="478" t="n"/>
      <c r="AJ8" s="477" t="n"/>
      <c r="AK8" s="478" t="n"/>
    </row>
    <row r="9" ht="18.75" customHeight="1" s="335">
      <c r="A9" s="476" t="n">
        <v>5</v>
      </c>
      <c r="B9" s="424">
        <f>DSTN!B14</f>
        <v/>
      </c>
      <c r="C9" s="425">
        <f>DSTN!C14</f>
        <v/>
      </c>
      <c r="D9" s="425">
        <f>DSTN!D14</f>
        <v/>
      </c>
      <c r="E9" s="473">
        <f>LEFT('Thông tin hoc sinh'!M7,LEN('Thông tin hoc sinh'!M7)-FIND("*",SUBSTITUTE('Thông tin hoc sinh'!M7,", ","*",LEN('Thông tin hoc sinh'!M7)-LEN(SUBSTITUTE('Thông tin hoc sinh'!M7,",","")))))</f>
        <v/>
      </c>
      <c r="F9" s="477" t="n"/>
      <c r="G9" s="478" t="n"/>
      <c r="H9" s="477" t="n"/>
      <c r="I9" s="478" t="n"/>
      <c r="J9" s="477" t="n"/>
      <c r="K9" s="478" t="n"/>
      <c r="L9" s="477" t="n"/>
      <c r="M9" s="478" t="n"/>
      <c r="N9" s="477" t="n"/>
      <c r="O9" s="478" t="n"/>
      <c r="P9" s="477" t="n"/>
      <c r="Q9" s="478" t="n"/>
      <c r="R9" s="477" t="n"/>
      <c r="S9" s="478" t="n"/>
      <c r="T9" s="477" t="n"/>
      <c r="U9" s="478" t="n"/>
      <c r="V9" s="477" t="n"/>
      <c r="W9" s="478" t="n"/>
      <c r="X9" s="477" t="n"/>
      <c r="Y9" s="478" t="n"/>
      <c r="Z9" s="477" t="n"/>
      <c r="AA9" s="478" t="n"/>
      <c r="AB9" s="477" t="n"/>
      <c r="AC9" s="478" t="n"/>
      <c r="AD9" s="477" t="n"/>
      <c r="AE9" s="478" t="n"/>
      <c r="AF9" s="477" t="n"/>
      <c r="AG9" s="478" t="n"/>
      <c r="AH9" s="477" t="n"/>
      <c r="AI9" s="478" t="n"/>
      <c r="AJ9" s="477" t="n"/>
      <c r="AK9" s="478" t="n"/>
    </row>
    <row r="10" ht="18.75" customHeight="1" s="335">
      <c r="A10" s="476" t="n">
        <v>6</v>
      </c>
      <c r="B10" s="424">
        <f>DSTN!B15</f>
        <v/>
      </c>
      <c r="C10" s="425">
        <f>DSTN!C15</f>
        <v/>
      </c>
      <c r="D10" s="425">
        <f>DSTN!D15</f>
        <v/>
      </c>
      <c r="E10" s="473">
        <f>LEFT('Thông tin hoc sinh'!M8,LEN('Thông tin hoc sinh'!M8)-FIND("*",SUBSTITUTE('Thông tin hoc sinh'!M8,", ","*",LEN('Thông tin hoc sinh'!M8)-LEN(SUBSTITUTE('Thông tin hoc sinh'!M8,",","")))))</f>
        <v/>
      </c>
      <c r="F10" s="477" t="n"/>
      <c r="G10" s="478" t="n"/>
      <c r="H10" s="477" t="n"/>
      <c r="I10" s="478" t="n"/>
      <c r="J10" s="477" t="n"/>
      <c r="K10" s="478" t="n"/>
      <c r="L10" s="477" t="n"/>
      <c r="M10" s="478" t="n"/>
      <c r="N10" s="477" t="n"/>
      <c r="O10" s="478" t="n"/>
      <c r="P10" s="477" t="n"/>
      <c r="Q10" s="478" t="n"/>
      <c r="R10" s="477" t="n"/>
      <c r="S10" s="478" t="n"/>
      <c r="T10" s="477" t="n"/>
      <c r="U10" s="478" t="n"/>
      <c r="V10" s="477" t="n"/>
      <c r="W10" s="478" t="n"/>
      <c r="X10" s="477" t="n"/>
      <c r="Y10" s="478" t="n"/>
      <c r="Z10" s="477" t="n"/>
      <c r="AA10" s="478" t="n"/>
      <c r="AB10" s="477" t="n"/>
      <c r="AC10" s="478" t="n"/>
      <c r="AD10" s="477" t="n"/>
      <c r="AE10" s="478" t="n"/>
      <c r="AF10" s="477" t="n"/>
      <c r="AG10" s="478" t="n"/>
      <c r="AH10" s="477" t="n"/>
      <c r="AI10" s="478" t="n"/>
      <c r="AJ10" s="477" t="n"/>
      <c r="AK10" s="478" t="n"/>
    </row>
    <row r="11" ht="18.75" customHeight="1" s="335">
      <c r="A11" s="476" t="n">
        <v>7</v>
      </c>
      <c r="B11" s="424">
        <f>DSTN!B16</f>
        <v/>
      </c>
      <c r="C11" s="425">
        <f>DSTN!C16</f>
        <v/>
      </c>
      <c r="D11" s="425">
        <f>DSTN!D16</f>
        <v/>
      </c>
      <c r="E11" s="473">
        <f>LEFT('Thông tin hoc sinh'!M9,LEN('Thông tin hoc sinh'!M9)-FIND("*",SUBSTITUTE('Thông tin hoc sinh'!M9,", ","*",LEN('Thông tin hoc sinh'!M9)-LEN(SUBSTITUTE('Thông tin hoc sinh'!M9,",","")))))</f>
        <v/>
      </c>
      <c r="F11" s="477" t="n"/>
      <c r="G11" s="478" t="n"/>
      <c r="H11" s="477" t="n"/>
      <c r="I11" s="478" t="n"/>
      <c r="J11" s="477" t="n"/>
      <c r="K11" s="478" t="n"/>
      <c r="L11" s="477" t="n"/>
      <c r="M11" s="478" t="n"/>
      <c r="N11" s="477" t="n"/>
      <c r="O11" s="478" t="n"/>
      <c r="P11" s="477" t="n"/>
      <c r="Q11" s="478" t="n"/>
      <c r="R11" s="477" t="n"/>
      <c r="S11" s="478" t="n"/>
      <c r="T11" s="477" t="n"/>
      <c r="U11" s="478" t="n"/>
      <c r="V11" s="477" t="n"/>
      <c r="W11" s="478" t="n"/>
      <c r="X11" s="477" t="n"/>
      <c r="Y11" s="478" t="n"/>
      <c r="Z11" s="477" t="n"/>
      <c r="AA11" s="478" t="n"/>
      <c r="AB11" s="477" t="n"/>
      <c r="AC11" s="478" t="n"/>
      <c r="AD11" s="477" t="n"/>
      <c r="AE11" s="478" t="n"/>
      <c r="AF11" s="477" t="n"/>
      <c r="AG11" s="478" t="n"/>
      <c r="AH11" s="477" t="n"/>
      <c r="AI11" s="478" t="n"/>
      <c r="AJ11" s="477" t="n"/>
      <c r="AK11" s="478" t="n"/>
    </row>
    <row r="12" ht="18.75" customHeight="1" s="335">
      <c r="A12" s="476" t="n">
        <v>8</v>
      </c>
      <c r="B12" s="424">
        <f>DSTN!B17</f>
        <v/>
      </c>
      <c r="C12" s="425">
        <f>DSTN!C17</f>
        <v/>
      </c>
      <c r="D12" s="425">
        <f>DSTN!D17</f>
        <v/>
      </c>
      <c r="E12" s="473">
        <f>LEFT('Thông tin hoc sinh'!M10,LEN('Thông tin hoc sinh'!M10)-FIND("*",SUBSTITUTE('Thông tin hoc sinh'!M10,", ","*",LEN('Thông tin hoc sinh'!M10)-LEN(SUBSTITUTE('Thông tin hoc sinh'!M10,",","")))))</f>
        <v/>
      </c>
      <c r="F12" s="477" t="n"/>
      <c r="G12" s="478" t="n"/>
      <c r="H12" s="477" t="n"/>
      <c r="I12" s="478" t="n"/>
      <c r="J12" s="477" t="n"/>
      <c r="K12" s="478" t="n"/>
      <c r="L12" s="477" t="n"/>
      <c r="M12" s="478" t="n"/>
      <c r="N12" s="477" t="n"/>
      <c r="O12" s="478" t="n"/>
      <c r="P12" s="477" t="n"/>
      <c r="Q12" s="478" t="n"/>
      <c r="R12" s="477" t="n"/>
      <c r="S12" s="478" t="n"/>
      <c r="T12" s="477" t="n"/>
      <c r="U12" s="478" t="n"/>
      <c r="V12" s="477" t="n"/>
      <c r="W12" s="478" t="n"/>
      <c r="X12" s="477" t="n"/>
      <c r="Y12" s="478" t="n"/>
      <c r="Z12" s="477" t="n"/>
      <c r="AA12" s="478" t="n"/>
      <c r="AB12" s="477" t="n"/>
      <c r="AC12" s="478" t="n"/>
      <c r="AD12" s="477" t="n"/>
      <c r="AE12" s="478" t="n"/>
      <c r="AF12" s="477" t="n"/>
      <c r="AG12" s="478" t="n"/>
      <c r="AH12" s="477" t="n"/>
      <c r="AI12" s="478" t="n"/>
      <c r="AJ12" s="477" t="n"/>
      <c r="AK12" s="478" t="n"/>
    </row>
    <row r="13" ht="18.75" customFormat="1" customHeight="1" s="376">
      <c r="A13" s="476" t="n">
        <v>9</v>
      </c>
      <c r="B13" s="424">
        <f>DSTN!B18</f>
        <v/>
      </c>
      <c r="C13" s="425">
        <f>DSTN!C18</f>
        <v/>
      </c>
      <c r="D13" s="425">
        <f>DSTN!D18</f>
        <v/>
      </c>
      <c r="E13" s="473">
        <f>LEFT('Thông tin hoc sinh'!M11,LEN('Thông tin hoc sinh'!M11)-FIND("*",SUBSTITUTE('Thông tin hoc sinh'!M11,", ","*",LEN('Thông tin hoc sinh'!M11)-LEN(SUBSTITUTE('Thông tin hoc sinh'!M11,",","")))))</f>
        <v/>
      </c>
      <c r="F13" s="477" t="n"/>
      <c r="G13" s="478" t="n"/>
      <c r="H13" s="477" t="n"/>
      <c r="I13" s="478" t="n"/>
      <c r="J13" s="477" t="n"/>
      <c r="K13" s="478" t="n"/>
      <c r="L13" s="477" t="n"/>
      <c r="M13" s="478" t="n"/>
      <c r="N13" s="477" t="n"/>
      <c r="O13" s="478" t="n"/>
      <c r="P13" s="477" t="n"/>
      <c r="Q13" s="478" t="n"/>
      <c r="R13" s="477" t="n"/>
      <c r="S13" s="478" t="n"/>
      <c r="T13" s="477" t="n"/>
      <c r="U13" s="478" t="n"/>
      <c r="V13" s="477" t="n"/>
      <c r="W13" s="478" t="n"/>
      <c r="X13" s="477" t="n"/>
      <c r="Y13" s="478" t="n"/>
      <c r="Z13" s="477" t="n"/>
      <c r="AA13" s="478" t="n"/>
      <c r="AB13" s="477" t="n"/>
      <c r="AC13" s="478" t="n"/>
      <c r="AD13" s="477" t="n"/>
      <c r="AE13" s="478" t="n"/>
      <c r="AF13" s="477" t="n"/>
      <c r="AG13" s="478" t="n"/>
      <c r="AH13" s="477" t="n"/>
      <c r="AI13" s="478" t="n"/>
      <c r="AJ13" s="477" t="n"/>
      <c r="AK13" s="478" t="n"/>
    </row>
    <row r="14" ht="18.75" customFormat="1" customHeight="1" s="404">
      <c r="A14" s="476" t="n">
        <v>10</v>
      </c>
      <c r="B14" s="424">
        <f>DSTN!B19</f>
        <v/>
      </c>
      <c r="C14" s="425">
        <f>DSTN!C19</f>
        <v/>
      </c>
      <c r="D14" s="425">
        <f>DSTN!D19</f>
        <v/>
      </c>
      <c r="E14" s="473">
        <f>LEFT('Thông tin hoc sinh'!M12,LEN('Thông tin hoc sinh'!M12)-FIND("*",SUBSTITUTE('Thông tin hoc sinh'!M12,", ","*",LEN('Thông tin hoc sinh'!M12)-LEN(SUBSTITUTE('Thông tin hoc sinh'!M12,",","")))))</f>
        <v/>
      </c>
      <c r="F14" s="479" t="n"/>
      <c r="G14" s="480" t="n"/>
      <c r="H14" s="479" t="n"/>
      <c r="I14" s="480" t="n"/>
      <c r="J14" s="479" t="n"/>
      <c r="K14" s="480" t="n"/>
      <c r="L14" s="479" t="n"/>
      <c r="M14" s="480" t="n"/>
      <c r="N14" s="479" t="n"/>
      <c r="O14" s="480" t="n"/>
      <c r="P14" s="479" t="n"/>
      <c r="Q14" s="480" t="n"/>
      <c r="R14" s="479" t="n"/>
      <c r="S14" s="480" t="n"/>
      <c r="T14" s="479" t="n"/>
      <c r="U14" s="480" t="n"/>
      <c r="V14" s="479" t="n"/>
      <c r="W14" s="480" t="n"/>
      <c r="X14" s="479" t="n"/>
      <c r="Y14" s="480" t="n"/>
      <c r="Z14" s="479" t="n"/>
      <c r="AA14" s="480" t="n"/>
      <c r="AB14" s="479" t="n"/>
      <c r="AC14" s="480" t="n"/>
      <c r="AD14" s="479" t="n"/>
      <c r="AE14" s="480" t="n"/>
      <c r="AF14" s="479" t="n"/>
      <c r="AG14" s="480" t="n"/>
      <c r="AH14" s="479" t="n"/>
      <c r="AI14" s="480" t="n"/>
      <c r="AJ14" s="479" t="n"/>
      <c r="AK14" s="480" t="n"/>
    </row>
    <row r="15" ht="18.75" customFormat="1" customHeight="1" s="404">
      <c r="A15" s="476" t="n">
        <v>11</v>
      </c>
      <c r="B15" s="424">
        <f>DSTN!B20</f>
        <v/>
      </c>
      <c r="C15" s="425">
        <f>DSTN!C20</f>
        <v/>
      </c>
      <c r="D15" s="425">
        <f>DSTN!D20</f>
        <v/>
      </c>
      <c r="E15" s="473">
        <f>LEFT('Thông tin hoc sinh'!M13,LEN('Thông tin hoc sinh'!M13)-FIND("*",SUBSTITUTE('Thông tin hoc sinh'!M13,", ","*",LEN('Thông tin hoc sinh'!M13)-LEN(SUBSTITUTE('Thông tin hoc sinh'!M13,",","")))))</f>
        <v/>
      </c>
      <c r="F15" s="479" t="n"/>
      <c r="G15" s="480" t="n"/>
      <c r="H15" s="479" t="n"/>
      <c r="I15" s="480" t="n"/>
      <c r="J15" s="479" t="n"/>
      <c r="K15" s="480" t="n"/>
      <c r="L15" s="479" t="n"/>
      <c r="M15" s="480" t="n"/>
      <c r="N15" s="479" t="n"/>
      <c r="O15" s="480" t="n"/>
      <c r="P15" s="479" t="n"/>
      <c r="Q15" s="480" t="n"/>
      <c r="R15" s="479" t="n"/>
      <c r="S15" s="480" t="n"/>
      <c r="T15" s="479" t="n"/>
      <c r="U15" s="480" t="n"/>
      <c r="V15" s="479" t="n"/>
      <c r="W15" s="480" t="n"/>
      <c r="X15" s="479" t="n"/>
      <c r="Y15" s="480" t="n"/>
      <c r="Z15" s="479" t="n"/>
      <c r="AA15" s="480" t="n"/>
      <c r="AB15" s="479" t="n"/>
      <c r="AC15" s="480" t="n"/>
      <c r="AD15" s="479" t="n"/>
      <c r="AE15" s="480" t="n"/>
      <c r="AF15" s="479" t="n"/>
      <c r="AG15" s="480" t="n"/>
      <c r="AH15" s="479" t="n"/>
      <c r="AI15" s="480" t="n"/>
      <c r="AJ15" s="479" t="n"/>
      <c r="AK15" s="480" t="n"/>
    </row>
    <row r="16" ht="18.75" customFormat="1" customHeight="1" s="404">
      <c r="A16" s="476" t="n">
        <v>12</v>
      </c>
      <c r="B16" s="424">
        <f>DSTN!B21</f>
        <v/>
      </c>
      <c r="C16" s="425">
        <f>DSTN!C21</f>
        <v/>
      </c>
      <c r="D16" s="425">
        <f>DSTN!D21</f>
        <v/>
      </c>
      <c r="E16" s="473">
        <f>LEFT('Thông tin hoc sinh'!M14,LEN('Thông tin hoc sinh'!M14)-FIND("*",SUBSTITUTE('Thông tin hoc sinh'!M14,", ","*",LEN('Thông tin hoc sinh'!M14)-LEN(SUBSTITUTE('Thông tin hoc sinh'!M14,",","")))))</f>
        <v/>
      </c>
      <c r="F16" s="479" t="n"/>
      <c r="G16" s="480" t="n"/>
      <c r="H16" s="479" t="n"/>
      <c r="I16" s="480" t="n"/>
      <c r="J16" s="479" t="n"/>
      <c r="K16" s="480" t="n"/>
      <c r="L16" s="479" t="n"/>
      <c r="M16" s="480" t="n"/>
      <c r="N16" s="479" t="n"/>
      <c r="O16" s="480" t="n"/>
      <c r="P16" s="479" t="n"/>
      <c r="Q16" s="480" t="n"/>
      <c r="R16" s="479" t="n"/>
      <c r="S16" s="480" t="n"/>
      <c r="T16" s="479" t="n"/>
      <c r="U16" s="480" t="n"/>
      <c r="V16" s="479" t="n"/>
      <c r="W16" s="480" t="n"/>
      <c r="X16" s="479" t="n"/>
      <c r="Y16" s="480" t="n"/>
      <c r="Z16" s="479" t="n"/>
      <c r="AA16" s="480" t="n"/>
      <c r="AB16" s="479" t="n"/>
      <c r="AC16" s="480" t="n"/>
      <c r="AD16" s="479" t="n"/>
      <c r="AE16" s="480" t="n"/>
      <c r="AF16" s="479" t="n"/>
      <c r="AG16" s="480" t="n"/>
      <c r="AH16" s="479" t="n"/>
      <c r="AI16" s="480" t="n"/>
      <c r="AJ16" s="479" t="n"/>
      <c r="AK16" s="480" t="n"/>
    </row>
    <row r="17" ht="18.75" customFormat="1" customHeight="1" s="451">
      <c r="A17" s="476" t="n">
        <v>13</v>
      </c>
      <c r="B17" s="424">
        <f>DSTN!B22</f>
        <v/>
      </c>
      <c r="C17" s="425">
        <f>DSTN!C22</f>
        <v/>
      </c>
      <c r="D17" s="425">
        <f>DSTN!D22</f>
        <v/>
      </c>
      <c r="E17" s="473">
        <f>LEFT('Thông tin hoc sinh'!M15,LEN('Thông tin hoc sinh'!M15)-FIND("*",SUBSTITUTE('Thông tin hoc sinh'!M15,", ","*",LEN('Thông tin hoc sinh'!M15)-LEN(SUBSTITUTE('Thông tin hoc sinh'!M15,",","")))))</f>
        <v/>
      </c>
      <c r="F17" s="479" t="n"/>
      <c r="G17" s="480" t="n"/>
      <c r="H17" s="479" t="n"/>
      <c r="I17" s="480" t="n"/>
      <c r="J17" s="479" t="n"/>
      <c r="K17" s="480" t="n"/>
      <c r="L17" s="479" t="n"/>
      <c r="M17" s="480" t="n"/>
      <c r="N17" s="479" t="n"/>
      <c r="O17" s="480" t="n"/>
      <c r="P17" s="479" t="n"/>
      <c r="Q17" s="480" t="n"/>
      <c r="R17" s="479" t="n"/>
      <c r="S17" s="480" t="n"/>
      <c r="T17" s="479" t="n"/>
      <c r="U17" s="480" t="n"/>
      <c r="V17" s="479" t="n"/>
      <c r="W17" s="480" t="n"/>
      <c r="X17" s="479" t="n"/>
      <c r="Y17" s="480" t="n"/>
      <c r="Z17" s="479" t="n"/>
      <c r="AA17" s="480" t="n"/>
      <c r="AB17" s="479" t="n"/>
      <c r="AC17" s="480" t="n"/>
      <c r="AD17" s="479" t="n"/>
      <c r="AE17" s="480" t="n"/>
      <c r="AF17" s="479" t="n"/>
      <c r="AG17" s="480" t="n"/>
      <c r="AH17" s="479" t="n"/>
      <c r="AI17" s="480" t="n"/>
      <c r="AJ17" s="479" t="n"/>
      <c r="AK17" s="480" t="n"/>
    </row>
    <row r="18" ht="18.75" customFormat="1" customHeight="1" s="404">
      <c r="A18" s="476" t="n">
        <v>14</v>
      </c>
      <c r="B18" s="424">
        <f>DSTN!B23</f>
        <v/>
      </c>
      <c r="C18" s="425">
        <f>DSTN!C23</f>
        <v/>
      </c>
      <c r="D18" s="425">
        <f>DSTN!D23</f>
        <v/>
      </c>
      <c r="E18" s="473">
        <f>LEFT('Thông tin hoc sinh'!M16,LEN('Thông tin hoc sinh'!M16)-FIND("*",SUBSTITUTE('Thông tin hoc sinh'!M16,", ","*",LEN('Thông tin hoc sinh'!M16)-LEN(SUBSTITUTE('Thông tin hoc sinh'!M16,",","")))))</f>
        <v/>
      </c>
      <c r="F18" s="479" t="n"/>
      <c r="G18" s="480" t="n"/>
      <c r="H18" s="479" t="n"/>
      <c r="I18" s="480" t="n"/>
      <c r="J18" s="479" t="n"/>
      <c r="K18" s="480" t="n"/>
      <c r="L18" s="479" t="n"/>
      <c r="M18" s="480" t="n"/>
      <c r="N18" s="479" t="n"/>
      <c r="O18" s="480" t="n"/>
      <c r="P18" s="479" t="n"/>
      <c r="Q18" s="480" t="n"/>
      <c r="R18" s="479" t="n"/>
      <c r="S18" s="480" t="n"/>
      <c r="T18" s="479" t="n"/>
      <c r="U18" s="480" t="n"/>
      <c r="V18" s="479" t="n"/>
      <c r="W18" s="480" t="n"/>
      <c r="X18" s="479" t="n"/>
      <c r="Y18" s="480" t="n"/>
      <c r="Z18" s="479" t="n"/>
      <c r="AA18" s="480" t="n"/>
      <c r="AB18" s="479" t="n"/>
      <c r="AC18" s="480" t="n"/>
      <c r="AD18" s="479" t="n"/>
      <c r="AE18" s="480" t="n"/>
      <c r="AF18" s="479" t="n"/>
      <c r="AG18" s="480" t="n"/>
      <c r="AH18" s="479" t="n"/>
      <c r="AI18" s="480" t="n"/>
      <c r="AJ18" s="479" t="n"/>
      <c r="AK18" s="480" t="n"/>
    </row>
    <row r="19" ht="18.75" customFormat="1" customHeight="1" s="404">
      <c r="A19" s="476" t="n">
        <v>15</v>
      </c>
      <c r="B19" s="424">
        <f>DSTN!B24</f>
        <v/>
      </c>
      <c r="C19" s="425">
        <f>DSTN!C24</f>
        <v/>
      </c>
      <c r="D19" s="425">
        <f>DSTN!D24</f>
        <v/>
      </c>
      <c r="E19" s="473">
        <f>LEFT('Thông tin hoc sinh'!M17,LEN('Thông tin hoc sinh'!M17)-FIND("*",SUBSTITUTE('Thông tin hoc sinh'!M17,", ","*",LEN('Thông tin hoc sinh'!M17)-LEN(SUBSTITUTE('Thông tin hoc sinh'!M17,",","")))))</f>
        <v/>
      </c>
      <c r="F19" s="479" t="n"/>
      <c r="G19" s="480" t="n"/>
      <c r="H19" s="479" t="n"/>
      <c r="I19" s="480" t="n"/>
      <c r="J19" s="479" t="n"/>
      <c r="K19" s="480" t="n"/>
      <c r="L19" s="479" t="n"/>
      <c r="M19" s="480" t="n"/>
      <c r="N19" s="479" t="n"/>
      <c r="O19" s="480" t="n"/>
      <c r="P19" s="479" t="n"/>
      <c r="Q19" s="480" t="n"/>
      <c r="R19" s="479" t="n"/>
      <c r="S19" s="480" t="n"/>
      <c r="T19" s="479" t="n"/>
      <c r="U19" s="480" t="n"/>
      <c r="V19" s="479" t="n"/>
      <c r="W19" s="480" t="n"/>
      <c r="X19" s="479" t="n"/>
      <c r="Y19" s="480" t="n"/>
      <c r="Z19" s="479" t="n"/>
      <c r="AA19" s="480" t="n"/>
      <c r="AB19" s="479" t="n"/>
      <c r="AC19" s="480" t="n"/>
      <c r="AD19" s="479" t="n"/>
      <c r="AE19" s="480" t="n"/>
      <c r="AF19" s="479" t="n"/>
      <c r="AG19" s="480" t="n"/>
      <c r="AH19" s="479" t="n"/>
      <c r="AI19" s="480" t="n"/>
      <c r="AJ19" s="479" t="n"/>
      <c r="AK19" s="480" t="n"/>
    </row>
    <row r="20" ht="18.75" customFormat="1" customHeight="1" s="451">
      <c r="A20" s="476" t="n">
        <v>16</v>
      </c>
      <c r="B20" s="424">
        <f>DSTN!B25</f>
        <v/>
      </c>
      <c r="C20" s="425">
        <f>DSTN!C25</f>
        <v/>
      </c>
      <c r="D20" s="425">
        <f>DSTN!D25</f>
        <v/>
      </c>
      <c r="E20" s="473">
        <f>LEFT('Thông tin hoc sinh'!M18,LEN('Thông tin hoc sinh'!M18)-FIND("*",SUBSTITUTE('Thông tin hoc sinh'!M18,", ","*",LEN('Thông tin hoc sinh'!M18)-LEN(SUBSTITUTE('Thông tin hoc sinh'!M18,",","")))))</f>
        <v/>
      </c>
      <c r="F20" s="479" t="n"/>
      <c r="G20" s="480" t="n"/>
      <c r="H20" s="479" t="n"/>
      <c r="I20" s="480" t="n"/>
      <c r="J20" s="479" t="n"/>
      <c r="K20" s="480" t="n"/>
      <c r="L20" s="479" t="n"/>
      <c r="M20" s="480" t="n"/>
      <c r="N20" s="479" t="n"/>
      <c r="O20" s="480" t="n"/>
      <c r="P20" s="479" t="n"/>
      <c r="Q20" s="480" t="n"/>
      <c r="R20" s="479" t="n"/>
      <c r="S20" s="480" t="n"/>
      <c r="T20" s="479" t="n"/>
      <c r="U20" s="480" t="n"/>
      <c r="V20" s="479" t="n"/>
      <c r="W20" s="480" t="n"/>
      <c r="X20" s="479" t="n"/>
      <c r="Y20" s="480" t="n"/>
      <c r="Z20" s="479" t="n"/>
      <c r="AA20" s="480" t="n"/>
      <c r="AB20" s="479" t="n"/>
      <c r="AC20" s="480" t="n"/>
      <c r="AD20" s="479" t="n"/>
      <c r="AE20" s="480" t="n"/>
      <c r="AF20" s="479" t="n"/>
      <c r="AG20" s="480" t="n"/>
      <c r="AH20" s="479" t="n"/>
      <c r="AI20" s="480" t="n"/>
      <c r="AJ20" s="479" t="n"/>
      <c r="AK20" s="480" t="n"/>
    </row>
    <row r="21" ht="18.75" customFormat="1" customHeight="1" s="404">
      <c r="A21" s="476" t="n">
        <v>17</v>
      </c>
      <c r="B21" s="424">
        <f>DSTN!B26</f>
        <v/>
      </c>
      <c r="C21" s="425">
        <f>DSTN!C26</f>
        <v/>
      </c>
      <c r="D21" s="425">
        <f>DSTN!D26</f>
        <v/>
      </c>
      <c r="E21" s="473">
        <f>LEFT('Thông tin hoc sinh'!M19,LEN('Thông tin hoc sinh'!M19)-FIND("*",SUBSTITUTE('Thông tin hoc sinh'!M19,", ","*",LEN('Thông tin hoc sinh'!M19)-LEN(SUBSTITUTE('Thông tin hoc sinh'!M19,",","")))))</f>
        <v/>
      </c>
      <c r="F21" s="479" t="n"/>
      <c r="G21" s="480" t="n"/>
      <c r="H21" s="479" t="n"/>
      <c r="I21" s="480" t="n"/>
      <c r="J21" s="479" t="n"/>
      <c r="K21" s="480" t="n"/>
      <c r="L21" s="479" t="n"/>
      <c r="M21" s="480" t="n"/>
      <c r="N21" s="479" t="n"/>
      <c r="O21" s="480" t="n"/>
      <c r="P21" s="479" t="n"/>
      <c r="Q21" s="480" t="n"/>
      <c r="R21" s="479" t="n"/>
      <c r="S21" s="480" t="n"/>
      <c r="T21" s="479" t="n"/>
      <c r="U21" s="480" t="n"/>
      <c r="V21" s="479" t="n"/>
      <c r="W21" s="480" t="n"/>
      <c r="X21" s="479" t="n"/>
      <c r="Y21" s="480" t="n"/>
      <c r="Z21" s="479" t="n"/>
      <c r="AA21" s="480" t="n"/>
      <c r="AB21" s="479" t="n"/>
      <c r="AC21" s="480" t="n"/>
      <c r="AD21" s="479" t="n"/>
      <c r="AE21" s="480" t="n"/>
      <c r="AF21" s="479" t="n"/>
      <c r="AG21" s="480" t="n"/>
      <c r="AH21" s="479" t="n"/>
      <c r="AI21" s="480" t="n"/>
      <c r="AJ21" s="479" t="n"/>
      <c r="AK21" s="480" t="n"/>
    </row>
    <row r="22" ht="18.75" customFormat="1" customHeight="1" s="404">
      <c r="A22" s="476" t="n">
        <v>18</v>
      </c>
      <c r="B22" s="424">
        <f>DSTN!B27</f>
        <v/>
      </c>
      <c r="C22" s="425">
        <f>DSTN!C27</f>
        <v/>
      </c>
      <c r="D22" s="425">
        <f>DSTN!D27</f>
        <v/>
      </c>
      <c r="E22" s="473">
        <f>LEFT('Thông tin hoc sinh'!M20,LEN('Thông tin hoc sinh'!M20)-FIND("*",SUBSTITUTE('Thông tin hoc sinh'!M20,", ","*",LEN('Thông tin hoc sinh'!M20)-LEN(SUBSTITUTE('Thông tin hoc sinh'!M20,",","")))))</f>
        <v/>
      </c>
      <c r="F22" s="479" t="n"/>
      <c r="G22" s="480" t="n"/>
      <c r="H22" s="479" t="n"/>
      <c r="I22" s="480" t="n"/>
      <c r="J22" s="479" t="n"/>
      <c r="K22" s="480" t="n"/>
      <c r="L22" s="479" t="n"/>
      <c r="M22" s="480" t="n"/>
      <c r="N22" s="479" t="n"/>
      <c r="O22" s="480" t="n"/>
      <c r="P22" s="479" t="n"/>
      <c r="Q22" s="480" t="n"/>
      <c r="R22" s="479" t="n"/>
      <c r="S22" s="480" t="n"/>
      <c r="T22" s="479" t="n"/>
      <c r="U22" s="480" t="n"/>
      <c r="V22" s="479" t="n"/>
      <c r="W22" s="480" t="n"/>
      <c r="X22" s="479" t="n"/>
      <c r="Y22" s="480" t="n"/>
      <c r="Z22" s="479" t="n"/>
      <c r="AA22" s="480" t="n"/>
      <c r="AB22" s="479" t="n"/>
      <c r="AC22" s="480" t="n"/>
      <c r="AD22" s="479" t="n"/>
      <c r="AE22" s="480" t="n"/>
      <c r="AF22" s="479" t="n"/>
      <c r="AG22" s="480" t="n"/>
      <c r="AH22" s="479" t="n"/>
      <c r="AI22" s="480" t="n"/>
      <c r="AJ22" s="479" t="n"/>
      <c r="AK22" s="480" t="n"/>
    </row>
    <row r="23" ht="18.75" customFormat="1" customHeight="1" s="404">
      <c r="A23" s="476" t="n">
        <v>19</v>
      </c>
      <c r="B23" s="424">
        <f>DSTN!B28</f>
        <v/>
      </c>
      <c r="C23" s="425">
        <f>DSTN!C28</f>
        <v/>
      </c>
      <c r="D23" s="425">
        <f>DSTN!D28</f>
        <v/>
      </c>
      <c r="E23" s="473">
        <f>LEFT('Thông tin hoc sinh'!M21,LEN('Thông tin hoc sinh'!M21)-FIND("*",SUBSTITUTE('Thông tin hoc sinh'!M21,", ","*",LEN('Thông tin hoc sinh'!M21)-LEN(SUBSTITUTE('Thông tin hoc sinh'!M21,",","")))))</f>
        <v/>
      </c>
      <c r="F23" s="479" t="n"/>
      <c r="G23" s="480" t="n"/>
      <c r="H23" s="479" t="n"/>
      <c r="I23" s="480" t="n"/>
      <c r="J23" s="479" t="n"/>
      <c r="K23" s="480" t="n"/>
      <c r="L23" s="479" t="n"/>
      <c r="M23" s="480" t="n"/>
      <c r="N23" s="479" t="n"/>
      <c r="O23" s="480" t="n"/>
      <c r="P23" s="479" t="n"/>
      <c r="Q23" s="480" t="n"/>
      <c r="R23" s="479" t="n"/>
      <c r="S23" s="480" t="n"/>
      <c r="T23" s="479" t="n"/>
      <c r="U23" s="480" t="n"/>
      <c r="V23" s="479" t="n"/>
      <c r="W23" s="480" t="n"/>
      <c r="X23" s="479" t="n"/>
      <c r="Y23" s="480" t="n"/>
      <c r="Z23" s="479" t="n"/>
      <c r="AA23" s="480" t="n"/>
      <c r="AB23" s="479" t="n"/>
      <c r="AC23" s="480" t="n"/>
      <c r="AD23" s="479" t="n"/>
      <c r="AE23" s="480" t="n"/>
      <c r="AF23" s="479" t="n"/>
      <c r="AG23" s="480" t="n"/>
      <c r="AH23" s="479" t="n"/>
      <c r="AI23" s="480" t="n"/>
      <c r="AJ23" s="479" t="n"/>
      <c r="AK23" s="480" t="n"/>
    </row>
    <row r="24" ht="18.75" customFormat="1" customHeight="1" s="404">
      <c r="A24" s="476" t="n">
        <v>20</v>
      </c>
      <c r="B24" s="424">
        <f>DSTN!B29</f>
        <v/>
      </c>
      <c r="C24" s="425">
        <f>DSTN!C29</f>
        <v/>
      </c>
      <c r="D24" s="425">
        <f>DSTN!D29</f>
        <v/>
      </c>
      <c r="E24" s="473">
        <f>LEFT('Thông tin hoc sinh'!M22,LEN('Thông tin hoc sinh'!M22)-FIND("*",SUBSTITUTE('Thông tin hoc sinh'!M22,", ","*",LEN('Thông tin hoc sinh'!M22)-LEN(SUBSTITUTE('Thông tin hoc sinh'!M22,",","")))))</f>
        <v/>
      </c>
      <c r="F24" s="479" t="n"/>
      <c r="G24" s="480" t="n"/>
      <c r="H24" s="479" t="n"/>
      <c r="I24" s="480" t="n"/>
      <c r="J24" s="479" t="n"/>
      <c r="K24" s="480" t="n"/>
      <c r="L24" s="479" t="n"/>
      <c r="M24" s="480" t="n"/>
      <c r="N24" s="479" t="n"/>
      <c r="O24" s="480" t="n"/>
      <c r="P24" s="479" t="n"/>
      <c r="Q24" s="480" t="n"/>
      <c r="R24" s="479" t="n"/>
      <c r="S24" s="480" t="n"/>
      <c r="T24" s="479" t="n"/>
      <c r="U24" s="480" t="n"/>
      <c r="V24" s="479" t="n"/>
      <c r="W24" s="480" t="n"/>
      <c r="X24" s="479" t="n"/>
      <c r="Y24" s="480" t="n"/>
      <c r="Z24" s="479" t="n"/>
      <c r="AA24" s="480" t="n"/>
      <c r="AB24" s="479" t="n"/>
      <c r="AC24" s="480" t="n"/>
      <c r="AD24" s="479" t="n"/>
      <c r="AE24" s="480" t="n"/>
      <c r="AF24" s="479" t="n"/>
      <c r="AG24" s="480" t="n"/>
      <c r="AH24" s="479" t="n"/>
      <c r="AI24" s="480" t="n"/>
      <c r="AJ24" s="479" t="n"/>
      <c r="AK24" s="480" t="n"/>
    </row>
    <row r="25" ht="18.75" customFormat="1" customHeight="1" s="404">
      <c r="A25" s="476" t="n">
        <v>21</v>
      </c>
      <c r="B25" s="424">
        <f>DSTN!B30</f>
        <v/>
      </c>
      <c r="C25" s="425">
        <f>DSTN!C30</f>
        <v/>
      </c>
      <c r="D25" s="425">
        <f>DSTN!D30</f>
        <v/>
      </c>
      <c r="E25" s="473">
        <f>LEFT('Thông tin hoc sinh'!M23,LEN('Thông tin hoc sinh'!M23)-FIND("*",SUBSTITUTE('Thông tin hoc sinh'!M23,", ","*",LEN('Thông tin hoc sinh'!M23)-LEN(SUBSTITUTE('Thông tin hoc sinh'!M23,",","")))))</f>
        <v/>
      </c>
      <c r="F25" s="479" t="n"/>
      <c r="G25" s="480" t="n"/>
      <c r="H25" s="479" t="n"/>
      <c r="I25" s="480" t="n"/>
      <c r="J25" s="479" t="n"/>
      <c r="K25" s="480" t="n"/>
      <c r="L25" s="479" t="n"/>
      <c r="M25" s="480" t="n"/>
      <c r="N25" s="479" t="n"/>
      <c r="O25" s="480" t="n"/>
      <c r="P25" s="479" t="n"/>
      <c r="Q25" s="480" t="n"/>
      <c r="R25" s="479" t="n"/>
      <c r="S25" s="480" t="n"/>
      <c r="T25" s="479" t="n"/>
      <c r="U25" s="480" t="n"/>
      <c r="V25" s="479" t="n"/>
      <c r="W25" s="480" t="n"/>
      <c r="X25" s="479" t="n"/>
      <c r="Y25" s="480" t="n"/>
      <c r="Z25" s="479" t="n"/>
      <c r="AA25" s="480" t="n"/>
      <c r="AB25" s="479" t="n"/>
      <c r="AC25" s="480" t="n"/>
      <c r="AD25" s="479" t="n"/>
      <c r="AE25" s="480" t="n"/>
      <c r="AF25" s="479" t="n"/>
      <c r="AG25" s="480" t="n"/>
      <c r="AH25" s="479" t="n"/>
      <c r="AI25" s="480" t="n"/>
      <c r="AJ25" s="479" t="n"/>
      <c r="AK25" s="480" t="n"/>
    </row>
    <row r="26" ht="18.75" customFormat="1" customHeight="1" s="404">
      <c r="A26" s="476" t="n">
        <v>22</v>
      </c>
      <c r="B26" s="424">
        <f>DSTN!B31</f>
        <v/>
      </c>
      <c r="C26" s="425">
        <f>DSTN!C31</f>
        <v/>
      </c>
      <c r="D26" s="425">
        <f>DSTN!D31</f>
        <v/>
      </c>
      <c r="E26" s="473">
        <f>LEFT('Thông tin hoc sinh'!M24,LEN('Thông tin hoc sinh'!M24)-FIND("*",SUBSTITUTE('Thông tin hoc sinh'!M24,", ","*",LEN('Thông tin hoc sinh'!M24)-LEN(SUBSTITUTE('Thông tin hoc sinh'!M24,",","")))))</f>
        <v/>
      </c>
      <c r="F26" s="479" t="n"/>
      <c r="G26" s="480" t="n"/>
      <c r="H26" s="479" t="n"/>
      <c r="I26" s="480" t="n"/>
      <c r="J26" s="479" t="n"/>
      <c r="K26" s="480" t="n"/>
      <c r="L26" s="479" t="n"/>
      <c r="M26" s="480" t="n"/>
      <c r="N26" s="479" t="n"/>
      <c r="O26" s="480" t="n"/>
      <c r="P26" s="479" t="n"/>
      <c r="Q26" s="480" t="n"/>
      <c r="R26" s="479" t="n"/>
      <c r="S26" s="480" t="n"/>
      <c r="T26" s="479" t="n"/>
      <c r="U26" s="480" t="n"/>
      <c r="V26" s="479" t="n"/>
      <c r="W26" s="480" t="n"/>
      <c r="X26" s="479" t="n"/>
      <c r="Y26" s="480" t="n"/>
      <c r="Z26" s="479" t="n"/>
      <c r="AA26" s="480" t="n"/>
      <c r="AB26" s="479" t="n"/>
      <c r="AC26" s="480" t="n"/>
      <c r="AD26" s="479" t="n"/>
      <c r="AE26" s="480" t="n"/>
      <c r="AF26" s="479" t="n"/>
      <c r="AG26" s="480" t="n"/>
      <c r="AH26" s="479" t="n"/>
      <c r="AI26" s="480" t="n"/>
      <c r="AJ26" s="479" t="n"/>
      <c r="AK26" s="480" t="n"/>
    </row>
    <row r="27" ht="18.75" customFormat="1" customHeight="1" s="404">
      <c r="A27" s="476" t="n">
        <v>23</v>
      </c>
      <c r="B27" s="424">
        <f>DSTN!B32</f>
        <v/>
      </c>
      <c r="C27" s="425">
        <f>DSTN!C32</f>
        <v/>
      </c>
      <c r="D27" s="425">
        <f>DSTN!D32</f>
        <v/>
      </c>
      <c r="E27" s="473">
        <f>LEFT('Thông tin hoc sinh'!M25,LEN('Thông tin hoc sinh'!M25)-FIND("*",SUBSTITUTE('Thông tin hoc sinh'!M25,", ","*",LEN('Thông tin hoc sinh'!M25)-LEN(SUBSTITUTE('Thông tin hoc sinh'!M25,",","")))))</f>
        <v/>
      </c>
      <c r="F27" s="479" t="n"/>
      <c r="G27" s="480" t="n"/>
      <c r="H27" s="479" t="n"/>
      <c r="I27" s="480" t="n"/>
      <c r="J27" s="479" t="n"/>
      <c r="K27" s="480" t="n"/>
      <c r="L27" s="479" t="n"/>
      <c r="M27" s="480" t="n"/>
      <c r="N27" s="479" t="n"/>
      <c r="O27" s="480" t="n"/>
      <c r="P27" s="479" t="n"/>
      <c r="Q27" s="480" t="n"/>
      <c r="R27" s="479" t="n"/>
      <c r="S27" s="480" t="n"/>
      <c r="T27" s="479" t="n"/>
      <c r="U27" s="480" t="n"/>
      <c r="V27" s="479" t="n"/>
      <c r="W27" s="480" t="n"/>
      <c r="X27" s="479" t="n"/>
      <c r="Y27" s="480" t="n"/>
      <c r="Z27" s="479" t="n"/>
      <c r="AA27" s="480" t="n"/>
      <c r="AB27" s="479" t="n"/>
      <c r="AC27" s="480" t="n"/>
      <c r="AD27" s="479" t="n"/>
      <c r="AE27" s="480" t="n"/>
      <c r="AF27" s="479" t="n"/>
      <c r="AG27" s="480" t="n"/>
      <c r="AH27" s="479" t="n"/>
      <c r="AI27" s="480" t="n"/>
      <c r="AJ27" s="479" t="n"/>
      <c r="AK27" s="480" t="n"/>
    </row>
    <row r="28" ht="18.75" customFormat="1" customHeight="1" s="451">
      <c r="A28" s="476" t="n">
        <v>24</v>
      </c>
      <c r="B28" s="424">
        <f>DSTN!B33</f>
        <v/>
      </c>
      <c r="C28" s="425">
        <f>DSTN!C33</f>
        <v/>
      </c>
      <c r="D28" s="425">
        <f>DSTN!D33</f>
        <v/>
      </c>
      <c r="E28" s="473">
        <f>LEFT('Thông tin hoc sinh'!M26,LEN('Thông tin hoc sinh'!M26)-FIND("*",SUBSTITUTE('Thông tin hoc sinh'!M26,", ","*",LEN('Thông tin hoc sinh'!M26)-LEN(SUBSTITUTE('Thông tin hoc sinh'!M26,",","")))))</f>
        <v/>
      </c>
      <c r="F28" s="479" t="n"/>
      <c r="G28" s="480" t="n"/>
      <c r="H28" s="479" t="n"/>
      <c r="I28" s="480" t="n"/>
      <c r="J28" s="479" t="n"/>
      <c r="K28" s="480" t="n"/>
      <c r="L28" s="479" t="n"/>
      <c r="M28" s="480" t="n"/>
      <c r="N28" s="479" t="n"/>
      <c r="O28" s="480" t="n"/>
      <c r="P28" s="479" t="n"/>
      <c r="Q28" s="480" t="n"/>
      <c r="R28" s="479" t="n"/>
      <c r="S28" s="480" t="n"/>
      <c r="T28" s="479" t="n"/>
      <c r="U28" s="480" t="n"/>
      <c r="V28" s="479" t="n"/>
      <c r="W28" s="480" t="n"/>
      <c r="X28" s="479" t="n"/>
      <c r="Y28" s="480" t="n"/>
      <c r="Z28" s="479" t="n"/>
      <c r="AA28" s="480" t="n"/>
      <c r="AB28" s="479" t="n"/>
      <c r="AC28" s="480" t="n"/>
      <c r="AD28" s="479" t="n"/>
      <c r="AE28" s="480" t="n"/>
      <c r="AF28" s="479" t="n"/>
      <c r="AG28" s="480" t="n"/>
      <c r="AH28" s="479" t="n"/>
      <c r="AI28" s="480" t="n"/>
      <c r="AJ28" s="479" t="n"/>
      <c r="AK28" s="480" t="n"/>
    </row>
    <row r="29" ht="18.75" customFormat="1" customHeight="1" s="404">
      <c r="A29" s="476" t="n">
        <v>25</v>
      </c>
      <c r="B29" s="424">
        <f>DSTN!B34</f>
        <v/>
      </c>
      <c r="C29" s="425">
        <f>DSTN!C34</f>
        <v/>
      </c>
      <c r="D29" s="425">
        <f>DSTN!D34</f>
        <v/>
      </c>
      <c r="E29" s="473">
        <f>LEFT('Thông tin hoc sinh'!M27,LEN('Thông tin hoc sinh'!M27)-FIND("*",SUBSTITUTE('Thông tin hoc sinh'!M27,", ","*",LEN('Thông tin hoc sinh'!M27)-LEN(SUBSTITUTE('Thông tin hoc sinh'!M27,",","")))))</f>
        <v/>
      </c>
      <c r="F29" s="479" t="n"/>
      <c r="G29" s="480" t="n"/>
      <c r="H29" s="479" t="n"/>
      <c r="I29" s="480" t="n"/>
      <c r="J29" s="479" t="n"/>
      <c r="K29" s="480" t="n"/>
      <c r="L29" s="479" t="n"/>
      <c r="M29" s="480" t="n"/>
      <c r="N29" s="479" t="n"/>
      <c r="O29" s="480" t="n"/>
      <c r="P29" s="479" t="n"/>
      <c r="Q29" s="480" t="n"/>
      <c r="R29" s="479" t="n"/>
      <c r="S29" s="480" t="n"/>
      <c r="T29" s="479" t="n"/>
      <c r="U29" s="480" t="n"/>
      <c r="V29" s="479" t="n"/>
      <c r="W29" s="480" t="n"/>
      <c r="X29" s="479" t="n"/>
      <c r="Y29" s="480" t="n"/>
      <c r="Z29" s="479" t="n"/>
      <c r="AA29" s="480" t="n"/>
      <c r="AB29" s="479" t="n"/>
      <c r="AC29" s="480" t="n"/>
      <c r="AD29" s="479" t="n"/>
      <c r="AE29" s="480" t="n"/>
      <c r="AF29" s="479" t="n"/>
      <c r="AG29" s="480" t="n"/>
      <c r="AH29" s="479" t="n"/>
      <c r="AI29" s="480" t="n"/>
      <c r="AJ29" s="479" t="n"/>
      <c r="AK29" s="480" t="n"/>
    </row>
    <row r="30" ht="18.75" customFormat="1" customHeight="1" s="451">
      <c r="A30" s="476" t="n">
        <v>26</v>
      </c>
      <c r="B30" s="424">
        <f>DSTN!B35</f>
        <v/>
      </c>
      <c r="C30" s="425">
        <f>DSTN!C35</f>
        <v/>
      </c>
      <c r="D30" s="425">
        <f>DSTN!D35</f>
        <v/>
      </c>
      <c r="E30" s="473">
        <f>LEFT('Thông tin hoc sinh'!M28,LEN('Thông tin hoc sinh'!M28)-FIND("*",SUBSTITUTE('Thông tin hoc sinh'!M28,", ","*",LEN('Thông tin hoc sinh'!M28)-LEN(SUBSTITUTE('Thông tin hoc sinh'!M28,",","")))))</f>
        <v/>
      </c>
      <c r="F30" s="479" t="n"/>
      <c r="G30" s="480" t="n"/>
      <c r="H30" s="479" t="n"/>
      <c r="I30" s="480" t="n"/>
      <c r="J30" s="479" t="n"/>
      <c r="K30" s="480" t="n"/>
      <c r="L30" s="479" t="n"/>
      <c r="M30" s="480" t="n"/>
      <c r="N30" s="479" t="n"/>
      <c r="O30" s="480" t="n"/>
      <c r="P30" s="479" t="n"/>
      <c r="Q30" s="480" t="n"/>
      <c r="R30" s="479" t="n"/>
      <c r="S30" s="480" t="n"/>
      <c r="T30" s="479" t="n"/>
      <c r="U30" s="480" t="n"/>
      <c r="V30" s="479" t="n"/>
      <c r="W30" s="480" t="n"/>
      <c r="X30" s="479" t="n"/>
      <c r="Y30" s="480" t="n"/>
      <c r="Z30" s="479" t="n"/>
      <c r="AA30" s="480" t="n"/>
      <c r="AB30" s="479" t="n"/>
      <c r="AC30" s="480" t="n"/>
      <c r="AD30" s="479" t="n"/>
      <c r="AE30" s="480" t="n"/>
      <c r="AF30" s="479" t="n"/>
      <c r="AG30" s="480" t="n"/>
      <c r="AH30" s="479" t="n"/>
      <c r="AI30" s="480" t="n"/>
      <c r="AJ30" s="479" t="n"/>
      <c r="AK30" s="480" t="n"/>
    </row>
    <row r="31" ht="18.75" customFormat="1" customHeight="1" s="451">
      <c r="A31" s="476" t="n">
        <v>27</v>
      </c>
      <c r="B31" s="424">
        <f>DSTN!B36</f>
        <v/>
      </c>
      <c r="C31" s="425">
        <f>DSTN!C36</f>
        <v/>
      </c>
      <c r="D31" s="425">
        <f>DSTN!D36</f>
        <v/>
      </c>
      <c r="E31" s="473">
        <f>LEFT('Thông tin hoc sinh'!M29,LEN('Thông tin hoc sinh'!M29)-FIND("*",SUBSTITUTE('Thông tin hoc sinh'!M29,", ","*",LEN('Thông tin hoc sinh'!M29)-LEN(SUBSTITUTE('Thông tin hoc sinh'!M29,",","")))))</f>
        <v/>
      </c>
      <c r="F31" s="479" t="n"/>
      <c r="G31" s="480" t="n"/>
      <c r="H31" s="479" t="n"/>
      <c r="I31" s="480" t="n"/>
      <c r="J31" s="479" t="n"/>
      <c r="K31" s="480" t="n"/>
      <c r="L31" s="479" t="n"/>
      <c r="M31" s="480" t="n"/>
      <c r="N31" s="479" t="n"/>
      <c r="O31" s="480" t="n"/>
      <c r="P31" s="479" t="n"/>
      <c r="Q31" s="480" t="n"/>
      <c r="R31" s="479" t="n"/>
      <c r="S31" s="480" t="n"/>
      <c r="T31" s="479" t="n"/>
      <c r="U31" s="480" t="n"/>
      <c r="V31" s="479" t="n"/>
      <c r="W31" s="480" t="n"/>
      <c r="X31" s="479" t="n"/>
      <c r="Y31" s="480" t="n"/>
      <c r="Z31" s="479" t="n"/>
      <c r="AA31" s="480" t="n"/>
      <c r="AB31" s="479" t="n"/>
      <c r="AC31" s="480" t="n"/>
      <c r="AD31" s="479" t="n"/>
      <c r="AE31" s="480" t="n"/>
      <c r="AF31" s="479" t="n"/>
      <c r="AG31" s="480" t="n"/>
      <c r="AH31" s="479" t="n"/>
      <c r="AI31" s="480" t="n"/>
      <c r="AJ31" s="479" t="n"/>
      <c r="AK31" s="480" t="n"/>
    </row>
    <row r="32" ht="18.75" customFormat="1" customHeight="1" s="404">
      <c r="A32" s="476" t="n">
        <v>28</v>
      </c>
      <c r="B32" s="424">
        <f>DSTN!B37</f>
        <v/>
      </c>
      <c r="C32" s="425">
        <f>DSTN!C37</f>
        <v/>
      </c>
      <c r="D32" s="425">
        <f>DSTN!D37</f>
        <v/>
      </c>
      <c r="E32" s="473">
        <f>LEFT('Thông tin hoc sinh'!M30,LEN('Thông tin hoc sinh'!M30)-FIND("*",SUBSTITUTE('Thông tin hoc sinh'!M30,", ","*",LEN('Thông tin hoc sinh'!M30)-LEN(SUBSTITUTE('Thông tin hoc sinh'!M30,",","")))))</f>
        <v/>
      </c>
      <c r="F32" s="479" t="n"/>
      <c r="G32" s="480" t="n"/>
      <c r="H32" s="479" t="n"/>
      <c r="I32" s="480" t="n"/>
      <c r="J32" s="479" t="n"/>
      <c r="K32" s="480" t="n"/>
      <c r="L32" s="479" t="n"/>
      <c r="M32" s="480" t="n"/>
      <c r="N32" s="479" t="n"/>
      <c r="O32" s="480" t="n"/>
      <c r="P32" s="479" t="n"/>
      <c r="Q32" s="480" t="n"/>
      <c r="R32" s="479" t="n"/>
      <c r="S32" s="480" t="n"/>
      <c r="T32" s="479" t="n"/>
      <c r="U32" s="480" t="n"/>
      <c r="V32" s="479" t="n"/>
      <c r="W32" s="480" t="n"/>
      <c r="X32" s="479" t="n"/>
      <c r="Y32" s="480" t="n"/>
      <c r="Z32" s="479" t="n"/>
      <c r="AA32" s="480" t="n"/>
      <c r="AB32" s="479" t="n"/>
      <c r="AC32" s="480" t="n"/>
      <c r="AD32" s="479" t="n"/>
      <c r="AE32" s="480" t="n"/>
      <c r="AF32" s="479" t="n"/>
      <c r="AG32" s="480" t="n"/>
      <c r="AH32" s="479" t="n"/>
      <c r="AI32" s="480" t="n"/>
      <c r="AJ32" s="479" t="n"/>
      <c r="AK32" s="480" t="n"/>
    </row>
    <row r="33" ht="18.75" customFormat="1" customHeight="1" s="404">
      <c r="A33" s="476" t="n">
        <v>29</v>
      </c>
      <c r="B33" s="424">
        <f>DSTN!B38</f>
        <v/>
      </c>
      <c r="C33" s="425">
        <f>DSTN!C38</f>
        <v/>
      </c>
      <c r="D33" s="425">
        <f>DSTN!D38</f>
        <v/>
      </c>
      <c r="E33" s="473">
        <f>LEFT('Thông tin hoc sinh'!M31,LEN('Thông tin hoc sinh'!M31)-FIND("*",SUBSTITUTE('Thông tin hoc sinh'!M31,", ","*",LEN('Thông tin hoc sinh'!M31)-LEN(SUBSTITUTE('Thông tin hoc sinh'!M31,",","")))))</f>
        <v/>
      </c>
      <c r="F33" s="479" t="n"/>
      <c r="G33" s="480" t="n"/>
      <c r="H33" s="479" t="n"/>
      <c r="I33" s="480" t="n"/>
      <c r="J33" s="479" t="n"/>
      <c r="K33" s="480" t="n"/>
      <c r="L33" s="479" t="n"/>
      <c r="M33" s="480" t="n"/>
      <c r="N33" s="479" t="n"/>
      <c r="O33" s="480" t="n"/>
      <c r="P33" s="479" t="n"/>
      <c r="Q33" s="480" t="n"/>
      <c r="R33" s="479" t="n"/>
      <c r="S33" s="480" t="n"/>
      <c r="T33" s="479" t="n"/>
      <c r="U33" s="480" t="n"/>
      <c r="V33" s="479" t="n"/>
      <c r="W33" s="480" t="n"/>
      <c r="X33" s="479" t="n"/>
      <c r="Y33" s="480" t="n"/>
      <c r="Z33" s="479" t="n"/>
      <c r="AA33" s="480" t="n"/>
      <c r="AB33" s="479" t="n"/>
      <c r="AC33" s="480" t="n"/>
      <c r="AD33" s="479" t="n"/>
      <c r="AE33" s="480" t="n"/>
      <c r="AF33" s="479" t="n"/>
      <c r="AG33" s="480" t="n"/>
      <c r="AH33" s="479" t="n"/>
      <c r="AI33" s="480" t="n"/>
      <c r="AJ33" s="479" t="n"/>
      <c r="AK33" s="480" t="n"/>
    </row>
    <row r="34" ht="18.75" customFormat="1" customHeight="1" s="451">
      <c r="A34" s="476" t="n">
        <v>30</v>
      </c>
      <c r="B34" s="424">
        <f>DSTN!B39</f>
        <v/>
      </c>
      <c r="C34" s="425">
        <f>DSTN!C39</f>
        <v/>
      </c>
      <c r="D34" s="425">
        <f>DSTN!D39</f>
        <v/>
      </c>
      <c r="E34" s="473">
        <f>LEFT('Thông tin hoc sinh'!M32,LEN('Thông tin hoc sinh'!M32)-FIND("*",SUBSTITUTE('Thông tin hoc sinh'!M32,", ","*",LEN('Thông tin hoc sinh'!M32)-LEN(SUBSTITUTE('Thông tin hoc sinh'!M32,",","")))))</f>
        <v/>
      </c>
      <c r="F34" s="479" t="n"/>
      <c r="G34" s="480" t="n"/>
      <c r="H34" s="479" t="n"/>
      <c r="I34" s="480" t="n"/>
      <c r="J34" s="479" t="n"/>
      <c r="K34" s="480" t="n"/>
      <c r="L34" s="479" t="n"/>
      <c r="M34" s="480" t="n"/>
      <c r="N34" s="479" t="n"/>
      <c r="O34" s="480" t="n"/>
      <c r="P34" s="479" t="n"/>
      <c r="Q34" s="480" t="n"/>
      <c r="R34" s="479" t="n"/>
      <c r="S34" s="480" t="n"/>
      <c r="T34" s="479" t="n"/>
      <c r="U34" s="480" t="n"/>
      <c r="V34" s="479" t="n"/>
      <c r="W34" s="480" t="n"/>
      <c r="X34" s="479" t="n"/>
      <c r="Y34" s="480" t="n"/>
      <c r="Z34" s="479" t="n"/>
      <c r="AA34" s="480" t="n"/>
      <c r="AB34" s="479" t="n"/>
      <c r="AC34" s="480" t="n"/>
      <c r="AD34" s="479" t="n"/>
      <c r="AE34" s="480" t="n"/>
      <c r="AF34" s="479" t="n"/>
      <c r="AG34" s="480" t="n"/>
      <c r="AH34" s="479" t="n"/>
      <c r="AI34" s="480" t="n"/>
      <c r="AJ34" s="479" t="n"/>
      <c r="AK34" s="480" t="n"/>
    </row>
    <row r="35" ht="18.75" customFormat="1" customHeight="1" s="404">
      <c r="A35" s="476" t="n">
        <v>31</v>
      </c>
      <c r="B35" s="424">
        <f>DSTN!B40</f>
        <v/>
      </c>
      <c r="C35" s="425">
        <f>DSTN!C40</f>
        <v/>
      </c>
      <c r="D35" s="425">
        <f>DSTN!D40</f>
        <v/>
      </c>
      <c r="E35" s="473">
        <f>LEFT('Thông tin hoc sinh'!M33,LEN('Thông tin hoc sinh'!M33)-FIND("*",SUBSTITUTE('Thông tin hoc sinh'!M33,", ","*",LEN('Thông tin hoc sinh'!M33)-LEN(SUBSTITUTE('Thông tin hoc sinh'!M33,",","")))))</f>
        <v/>
      </c>
      <c r="F35" s="479" t="n"/>
      <c r="G35" s="480" t="n"/>
      <c r="H35" s="479" t="n"/>
      <c r="I35" s="480" t="n"/>
      <c r="J35" s="479" t="n"/>
      <c r="K35" s="480" t="n"/>
      <c r="L35" s="479" t="n"/>
      <c r="M35" s="480" t="n"/>
      <c r="N35" s="479" t="n"/>
      <c r="O35" s="480" t="n"/>
      <c r="P35" s="479" t="n"/>
      <c r="Q35" s="480" t="n"/>
      <c r="R35" s="479" t="n"/>
      <c r="S35" s="480" t="n"/>
      <c r="T35" s="479" t="n"/>
      <c r="U35" s="480" t="n"/>
      <c r="V35" s="479" t="n"/>
      <c r="W35" s="480" t="n"/>
      <c r="X35" s="479" t="n"/>
      <c r="Y35" s="480" t="n"/>
      <c r="Z35" s="479" t="n"/>
      <c r="AA35" s="480" t="n"/>
      <c r="AB35" s="479" t="n"/>
      <c r="AC35" s="480" t="n"/>
      <c r="AD35" s="479" t="n"/>
      <c r="AE35" s="480" t="n"/>
      <c r="AF35" s="479" t="n"/>
      <c r="AG35" s="480" t="n"/>
      <c r="AH35" s="479" t="n"/>
      <c r="AI35" s="480" t="n"/>
      <c r="AJ35" s="479" t="n"/>
      <c r="AK35" s="480" t="n"/>
    </row>
    <row r="36" ht="18.75" customFormat="1" customHeight="1" s="404">
      <c r="A36" s="476" t="n">
        <v>32</v>
      </c>
      <c r="B36" s="424">
        <f>DSTN!B41</f>
        <v/>
      </c>
      <c r="C36" s="425">
        <f>DSTN!C41</f>
        <v/>
      </c>
      <c r="D36" s="425">
        <f>DSTN!D41</f>
        <v/>
      </c>
      <c r="E36" s="473">
        <f>LEFT('Thông tin hoc sinh'!M34,LEN('Thông tin hoc sinh'!M34)-FIND("*",SUBSTITUTE('Thông tin hoc sinh'!M34,", ","*",LEN('Thông tin hoc sinh'!M34)-LEN(SUBSTITUTE('Thông tin hoc sinh'!M34,",","")))))</f>
        <v/>
      </c>
      <c r="F36" s="479" t="n"/>
      <c r="G36" s="480" t="n"/>
      <c r="H36" s="479" t="n"/>
      <c r="I36" s="480" t="n"/>
      <c r="J36" s="479" t="n"/>
      <c r="K36" s="480" t="n"/>
      <c r="L36" s="479" t="n"/>
      <c r="M36" s="480" t="n"/>
      <c r="N36" s="479" t="n"/>
      <c r="O36" s="480" t="n"/>
      <c r="P36" s="479" t="n"/>
      <c r="Q36" s="480" t="n"/>
      <c r="R36" s="479" t="n"/>
      <c r="S36" s="480" t="n"/>
      <c r="T36" s="479" t="n"/>
      <c r="U36" s="480" t="n"/>
      <c r="V36" s="479" t="n"/>
      <c r="W36" s="480" t="n"/>
      <c r="X36" s="479" t="n"/>
      <c r="Y36" s="480" t="n"/>
      <c r="Z36" s="479" t="n"/>
      <c r="AA36" s="480" t="n"/>
      <c r="AB36" s="479" t="n"/>
      <c r="AC36" s="480" t="n"/>
      <c r="AD36" s="479" t="n"/>
      <c r="AE36" s="480" t="n"/>
      <c r="AF36" s="479" t="n"/>
      <c r="AG36" s="480" t="n"/>
      <c r="AH36" s="479" t="n"/>
      <c r="AI36" s="480" t="n"/>
      <c r="AJ36" s="479" t="n"/>
      <c r="AK36" s="480" t="n"/>
    </row>
    <row r="37" ht="18.75" customFormat="1" customHeight="1" s="404">
      <c r="A37" s="476" t="n">
        <v>33</v>
      </c>
      <c r="B37" s="424">
        <f>DSTN!B42</f>
        <v/>
      </c>
      <c r="C37" s="425">
        <f>DSTN!C42</f>
        <v/>
      </c>
      <c r="D37" s="425">
        <f>DSTN!D42</f>
        <v/>
      </c>
      <c r="E37" s="473">
        <f>LEFT('Thông tin hoc sinh'!M35,LEN('Thông tin hoc sinh'!M35)-FIND("*",SUBSTITUTE('Thông tin hoc sinh'!M35,", ","*",LEN('Thông tin hoc sinh'!M35)-LEN(SUBSTITUTE('Thông tin hoc sinh'!M35,",","")))))</f>
        <v/>
      </c>
      <c r="F37" s="479" t="n"/>
      <c r="G37" s="480" t="n"/>
      <c r="H37" s="479" t="n"/>
      <c r="I37" s="480" t="n"/>
      <c r="J37" s="479" t="n"/>
      <c r="K37" s="480" t="n"/>
      <c r="L37" s="479" t="n"/>
      <c r="M37" s="480" t="n"/>
      <c r="N37" s="479" t="n"/>
      <c r="O37" s="480" t="n"/>
      <c r="P37" s="479" t="n"/>
      <c r="Q37" s="480" t="n"/>
      <c r="R37" s="479" t="n"/>
      <c r="S37" s="480" t="n"/>
      <c r="T37" s="479" t="n"/>
      <c r="U37" s="480" t="n"/>
      <c r="V37" s="479" t="n"/>
      <c r="W37" s="480" t="n"/>
      <c r="X37" s="479" t="n"/>
      <c r="Y37" s="480" t="n"/>
      <c r="Z37" s="479" t="n"/>
      <c r="AA37" s="480" t="n"/>
      <c r="AB37" s="479" t="n"/>
      <c r="AC37" s="480" t="n"/>
      <c r="AD37" s="479" t="n"/>
      <c r="AE37" s="480" t="n"/>
      <c r="AF37" s="479" t="n"/>
      <c r="AG37" s="480" t="n"/>
      <c r="AH37" s="479" t="n"/>
      <c r="AI37" s="480" t="n"/>
      <c r="AJ37" s="479" t="n"/>
      <c r="AK37" s="480" t="n"/>
    </row>
    <row r="38" ht="18.75" customFormat="1" customHeight="1" s="404">
      <c r="A38" s="476" t="n">
        <v>34</v>
      </c>
      <c r="B38" s="424">
        <f>DSTN!B43</f>
        <v/>
      </c>
      <c r="C38" s="425">
        <f>DSTN!C43</f>
        <v/>
      </c>
      <c r="D38" s="425">
        <f>DSTN!D43</f>
        <v/>
      </c>
      <c r="E38" s="473">
        <f>LEFT('Thông tin hoc sinh'!M36,LEN('Thông tin hoc sinh'!M36)-FIND("*",SUBSTITUTE('Thông tin hoc sinh'!M36,", ","*",LEN('Thông tin hoc sinh'!M36)-LEN(SUBSTITUTE('Thông tin hoc sinh'!M36,",","")))))</f>
        <v/>
      </c>
      <c r="F38" s="479" t="n"/>
      <c r="G38" s="480" t="n"/>
      <c r="H38" s="479" t="n"/>
      <c r="I38" s="480" t="n"/>
      <c r="J38" s="479" t="n"/>
      <c r="K38" s="480" t="n"/>
      <c r="L38" s="479" t="n"/>
      <c r="M38" s="480" t="n"/>
      <c r="N38" s="479" t="n"/>
      <c r="O38" s="480" t="n"/>
      <c r="P38" s="479" t="n"/>
      <c r="Q38" s="480" t="n"/>
      <c r="R38" s="479" t="n"/>
      <c r="S38" s="480" t="n"/>
      <c r="T38" s="479" t="n"/>
      <c r="U38" s="480" t="n"/>
      <c r="V38" s="479" t="n"/>
      <c r="W38" s="480" t="n"/>
      <c r="X38" s="479" t="n"/>
      <c r="Y38" s="480" t="n"/>
      <c r="Z38" s="479" t="n"/>
      <c r="AA38" s="480" t="n"/>
      <c r="AB38" s="479" t="n"/>
      <c r="AC38" s="480" t="n"/>
      <c r="AD38" s="479" t="n"/>
      <c r="AE38" s="480" t="n"/>
      <c r="AF38" s="479" t="n"/>
      <c r="AG38" s="480" t="n"/>
      <c r="AH38" s="479" t="n"/>
      <c r="AI38" s="480" t="n"/>
      <c r="AJ38" s="479" t="n"/>
      <c r="AK38" s="480" t="n"/>
    </row>
    <row r="39" ht="18.75" customFormat="1" customHeight="1" s="404">
      <c r="A39" s="481" t="n">
        <v>35</v>
      </c>
      <c r="B39" s="424">
        <f>DSTN!B44</f>
        <v/>
      </c>
      <c r="C39" s="425">
        <f>DSTN!C44</f>
        <v/>
      </c>
      <c r="D39" s="425">
        <f>DSTN!D44</f>
        <v/>
      </c>
      <c r="E39" s="473">
        <f>LEFT('Thông tin hoc sinh'!M37,LEN('Thông tin hoc sinh'!M37)-FIND("*",SUBSTITUTE('Thông tin hoc sinh'!M37,", ","*",LEN('Thông tin hoc sinh'!M37)-LEN(SUBSTITUTE('Thông tin hoc sinh'!M37,",","")))))</f>
        <v/>
      </c>
      <c r="F39" s="482" t="n"/>
      <c r="G39" s="483" t="n"/>
      <c r="H39" s="482" t="n"/>
      <c r="I39" s="483" t="n"/>
      <c r="J39" s="482" t="n"/>
      <c r="K39" s="483" t="n"/>
      <c r="L39" s="482" t="n"/>
      <c r="M39" s="483" t="n"/>
      <c r="N39" s="482" t="n"/>
      <c r="O39" s="483" t="n"/>
      <c r="P39" s="482" t="n"/>
      <c r="Q39" s="483" t="n"/>
      <c r="R39" s="482" t="n"/>
      <c r="S39" s="483" t="n"/>
      <c r="T39" s="482" t="n"/>
      <c r="U39" s="483" t="n"/>
      <c r="V39" s="482" t="n"/>
      <c r="W39" s="483" t="n"/>
      <c r="X39" s="482" t="n"/>
      <c r="Y39" s="483" t="n"/>
      <c r="Z39" s="482" t="n"/>
      <c r="AA39" s="483" t="n"/>
      <c r="AB39" s="482" t="n"/>
      <c r="AC39" s="483" t="n"/>
      <c r="AD39" s="482" t="n"/>
      <c r="AE39" s="483" t="n"/>
      <c r="AF39" s="482" t="n"/>
      <c r="AG39" s="483" t="n"/>
      <c r="AH39" s="482" t="n"/>
      <c r="AI39" s="483" t="n"/>
      <c r="AJ39" s="482" t="n"/>
      <c r="AK39" s="483" t="n"/>
    </row>
    <row r="40" ht="17.25" customFormat="1" customHeight="1" s="404">
      <c r="A40" s="373" t="n"/>
      <c r="B40" s="375" t="n"/>
      <c r="C40" s="375" t="n"/>
      <c r="D40" s="375" t="n"/>
      <c r="E40" s="375" t="n"/>
      <c r="F40" s="404" t="n"/>
      <c r="AM40" s="484" t="n"/>
    </row>
    <row r="41" ht="20.25" customFormat="1" customHeight="1" s="451">
      <c r="A41" s="373" t="n"/>
      <c r="B41" s="375" t="inlineStr">
        <is>
          <t>Nhận xét, đánh giá hàng ngày:</t>
        </is>
      </c>
      <c r="C41" s="375" t="n"/>
      <c r="D41" s="375" t="n"/>
      <c r="E41" s="375" t="n"/>
      <c r="F41" s="451" t="n"/>
      <c r="AM41" s="485" t="n"/>
    </row>
    <row r="42" ht="17.25" customFormat="1" customHeight="1" s="404">
      <c r="A42" s="373" t="n"/>
      <c r="B42" s="375" t="n"/>
      <c r="C42" s="375" t="n"/>
      <c r="D42" s="374" t="n"/>
      <c r="E42" s="375" t="n"/>
      <c r="F42" s="404" t="n"/>
      <c r="AM42" s="484" t="n"/>
    </row>
    <row r="43" ht="18" customFormat="1" customHeight="1" s="404">
      <c r="A43" s="486" t="n"/>
      <c r="B43" s="487" t="n"/>
      <c r="C43" s="487" t="n"/>
      <c r="D43" s="488" t="n"/>
      <c r="E43" s="487" t="n"/>
      <c r="F43" s="489" t="n"/>
      <c r="G43" s="489" t="n"/>
      <c r="H43" s="489" t="n"/>
      <c r="I43" s="489" t="n"/>
      <c r="J43" s="489" t="n"/>
      <c r="K43" s="489" t="n"/>
      <c r="L43" s="489" t="n"/>
      <c r="M43" s="489" t="n"/>
      <c r="N43" s="489" t="n"/>
      <c r="O43" s="489" t="n"/>
      <c r="P43" s="489" t="n"/>
      <c r="Q43" s="489" t="n"/>
      <c r="R43" s="489" t="n"/>
      <c r="S43" s="489" t="n"/>
      <c r="T43" s="489" t="n"/>
      <c r="U43" s="489" t="n"/>
      <c r="V43" s="489" t="n"/>
      <c r="W43" s="489" t="n"/>
      <c r="X43" s="489" t="n"/>
      <c r="Y43" s="489" t="n"/>
      <c r="Z43" s="489" t="n"/>
      <c r="AA43" s="489" t="n"/>
      <c r="AB43" s="489" t="n"/>
      <c r="AC43" s="489" t="n"/>
      <c r="AD43" s="489" t="n"/>
      <c r="AE43" s="489" t="n"/>
      <c r="AF43" s="489" t="n"/>
      <c r="AG43" s="489" t="n"/>
      <c r="AH43" s="489" t="n"/>
      <c r="AI43" s="489" t="n"/>
      <c r="AJ43" s="489" t="n"/>
      <c r="AK43" s="489" t="n"/>
      <c r="AM43" s="484" t="n"/>
    </row>
    <row r="44" ht="18" customFormat="1" customHeight="1" s="404">
      <c r="A44" s="486" t="n"/>
      <c r="B44" s="487" t="n"/>
      <c r="C44" s="487" t="n"/>
      <c r="D44" s="488" t="n"/>
      <c r="E44" s="487" t="n"/>
      <c r="F44" s="489" t="n"/>
      <c r="G44" s="489" t="n"/>
      <c r="H44" s="489" t="n"/>
      <c r="I44" s="489" t="n"/>
      <c r="J44" s="489" t="n"/>
      <c r="K44" s="489" t="n"/>
      <c r="L44" s="489" t="n"/>
      <c r="M44" s="489" t="n"/>
      <c r="N44" s="489" t="n"/>
      <c r="O44" s="489" t="n"/>
      <c r="P44" s="489" t="n"/>
      <c r="Q44" s="489" t="n"/>
      <c r="R44" s="489" t="n"/>
      <c r="S44" s="489" t="n"/>
      <c r="T44" s="489" t="n"/>
      <c r="U44" s="489" t="n"/>
      <c r="V44" s="489" t="n"/>
      <c r="W44" s="489" t="n"/>
      <c r="X44" s="489" t="n"/>
      <c r="Y44" s="489" t="n"/>
      <c r="Z44" s="489" t="n"/>
      <c r="AA44" s="489" t="n"/>
      <c r="AB44" s="489" t="n"/>
      <c r="AC44" s="489" t="n"/>
      <c r="AD44" s="489" t="n"/>
      <c r="AE44" s="489" t="n"/>
      <c r="AF44" s="489" t="n"/>
      <c r="AG44" s="489" t="n"/>
      <c r="AH44" s="489" t="n"/>
      <c r="AI44" s="489" t="n"/>
      <c r="AJ44" s="489" t="n"/>
      <c r="AK44" s="489" t="n"/>
      <c r="AM44" s="484" t="n"/>
    </row>
    <row r="45" ht="17.25" customFormat="1" customHeight="1" s="404">
      <c r="A45" s="486" t="n"/>
      <c r="B45" s="487" t="n"/>
      <c r="C45" s="487" t="n"/>
      <c r="D45" s="488" t="n"/>
      <c r="E45" s="487" t="n"/>
      <c r="F45" s="489" t="n"/>
      <c r="G45" s="489" t="n"/>
      <c r="H45" s="489" t="n"/>
      <c r="I45" s="489" t="n"/>
      <c r="J45" s="489" t="n"/>
      <c r="K45" s="489" t="n"/>
      <c r="L45" s="489" t="n"/>
      <c r="M45" s="489" t="n"/>
      <c r="N45" s="489" t="n"/>
      <c r="O45" s="489" t="n"/>
      <c r="P45" s="489" t="n"/>
      <c r="Q45" s="489" t="n"/>
      <c r="R45" s="489" t="n"/>
      <c r="S45" s="489" t="n"/>
      <c r="T45" s="489" t="n"/>
      <c r="U45" s="489" t="n"/>
      <c r="V45" s="489" t="n"/>
      <c r="W45" s="489" t="n"/>
      <c r="X45" s="489" t="n"/>
      <c r="Y45" s="489" t="n"/>
      <c r="Z45" s="489" t="n"/>
      <c r="AA45" s="489" t="n"/>
      <c r="AB45" s="489" t="n"/>
      <c r="AC45" s="489" t="n"/>
      <c r="AD45" s="489" t="n"/>
      <c r="AE45" s="489" t="n"/>
      <c r="AF45" s="489" t="n"/>
      <c r="AG45" s="489" t="n"/>
      <c r="AH45" s="489" t="n"/>
      <c r="AI45" s="489" t="n"/>
      <c r="AJ45" s="489" t="n"/>
      <c r="AK45" s="489" t="n"/>
      <c r="AM45" s="484" t="n"/>
    </row>
    <row r="46" ht="17.25" customFormat="1" customHeight="1" s="404">
      <c r="A46" s="486" t="n"/>
      <c r="B46" s="487" t="n"/>
      <c r="C46" s="487" t="n"/>
      <c r="D46" s="488" t="n"/>
      <c r="E46" s="487" t="n"/>
      <c r="F46" s="489" t="n"/>
      <c r="G46" s="489" t="n"/>
      <c r="H46" s="489" t="n"/>
      <c r="I46" s="489" t="n"/>
      <c r="J46" s="489" t="n"/>
      <c r="K46" s="489" t="n"/>
      <c r="L46" s="489" t="n"/>
      <c r="M46" s="489" t="n"/>
      <c r="N46" s="489" t="n"/>
      <c r="O46" s="489" t="n"/>
      <c r="P46" s="489" t="n"/>
      <c r="Q46" s="489" t="n"/>
      <c r="R46" s="489" t="n"/>
      <c r="S46" s="489" t="n"/>
      <c r="T46" s="489" t="n"/>
      <c r="U46" s="489" t="n"/>
      <c r="V46" s="489" t="n"/>
      <c r="W46" s="489" t="n"/>
      <c r="X46" s="489" t="n"/>
      <c r="Y46" s="489" t="n"/>
      <c r="Z46" s="489" t="n"/>
      <c r="AA46" s="489" t="n"/>
      <c r="AB46" s="489" t="n"/>
      <c r="AC46" s="489" t="n"/>
      <c r="AD46" s="489" t="n"/>
      <c r="AE46" s="489" t="n"/>
      <c r="AF46" s="489" t="n"/>
      <c r="AG46" s="489" t="n"/>
      <c r="AH46" s="489" t="n"/>
      <c r="AI46" s="489" t="n"/>
      <c r="AJ46" s="489" t="n"/>
      <c r="AK46" s="489" t="n"/>
      <c r="AM46" s="484" t="n"/>
    </row>
    <row r="47" ht="18.75" customFormat="1" customHeight="1" s="404">
      <c r="A47" s="486" t="n"/>
      <c r="B47" s="487" t="n"/>
      <c r="C47" s="487" t="n"/>
      <c r="D47" s="488" t="n"/>
      <c r="E47" s="487" t="n"/>
      <c r="F47" s="489" t="n"/>
      <c r="G47" s="489" t="n"/>
      <c r="H47" s="489" t="n"/>
      <c r="I47" s="489" t="n"/>
      <c r="J47" s="489" t="n"/>
      <c r="K47" s="489" t="n"/>
      <c r="L47" s="489" t="n"/>
      <c r="M47" s="489" t="n"/>
      <c r="N47" s="489" t="n"/>
      <c r="O47" s="489" t="n"/>
      <c r="P47" s="489" t="n"/>
      <c r="Q47" s="489" t="n"/>
      <c r="R47" s="489" t="n"/>
      <c r="S47" s="489" t="n"/>
      <c r="T47" s="489" t="n"/>
      <c r="U47" s="489" t="n"/>
      <c r="V47" s="489" t="n"/>
      <c r="W47" s="489" t="n"/>
      <c r="X47" s="489" t="n"/>
      <c r="Y47" s="489" t="n"/>
      <c r="Z47" s="489" t="n"/>
      <c r="AA47" s="489" t="n"/>
      <c r="AB47" s="489" t="n"/>
      <c r="AC47" s="489" t="n"/>
      <c r="AD47" s="489" t="n"/>
      <c r="AE47" s="489" t="n"/>
      <c r="AF47" s="489" t="n"/>
      <c r="AG47" s="489" t="n"/>
      <c r="AH47" s="489" t="n"/>
      <c r="AI47" s="489" t="n"/>
      <c r="AJ47" s="489" t="n"/>
      <c r="AK47" s="489" t="n"/>
      <c r="AM47" s="484" t="n"/>
    </row>
    <row r="48" ht="18.75" customFormat="1" customHeight="1" s="404">
      <c r="A48" s="486" t="n"/>
      <c r="B48" s="487" t="n"/>
      <c r="C48" s="487" t="n"/>
      <c r="D48" s="488" t="n"/>
      <c r="E48" s="487" t="n"/>
      <c r="F48" s="489" t="n"/>
      <c r="G48" s="489" t="n"/>
      <c r="H48" s="489" t="n"/>
      <c r="I48" s="489" t="n"/>
      <c r="J48" s="489" t="n"/>
      <c r="K48" s="489" t="n"/>
      <c r="L48" s="489" t="n"/>
      <c r="M48" s="489" t="n"/>
      <c r="N48" s="489" t="n"/>
      <c r="O48" s="489" t="n"/>
      <c r="P48" s="489" t="n"/>
      <c r="Q48" s="489" t="n"/>
      <c r="R48" s="489" t="n"/>
      <c r="S48" s="489" t="n"/>
      <c r="T48" s="489" t="n"/>
      <c r="U48" s="489" t="n"/>
      <c r="V48" s="489" t="n"/>
      <c r="W48" s="489" t="n"/>
      <c r="X48" s="489" t="n"/>
      <c r="Y48" s="489" t="n"/>
      <c r="Z48" s="489" t="n"/>
      <c r="AA48" s="489" t="n"/>
      <c r="AB48" s="489" t="n"/>
      <c r="AC48" s="489" t="n"/>
      <c r="AD48" s="489" t="n"/>
      <c r="AE48" s="489" t="n"/>
      <c r="AF48" s="489" t="n"/>
      <c r="AG48" s="489" t="n"/>
      <c r="AH48" s="489" t="n"/>
      <c r="AI48" s="489" t="n"/>
      <c r="AJ48" s="489" t="n"/>
      <c r="AK48" s="489" t="n"/>
      <c r="AM48" s="484" t="n"/>
    </row>
    <row r="49" ht="15.75" customHeight="1" s="335">
      <c r="A49" s="486" t="n"/>
      <c r="B49" s="487" t="n"/>
      <c r="C49" s="487" t="n"/>
      <c r="D49" s="488" t="n"/>
      <c r="E49" s="487" t="n"/>
      <c r="F49" s="487" t="n"/>
      <c r="G49" s="487" t="n"/>
      <c r="H49" s="487" t="n"/>
      <c r="I49" s="487" t="n"/>
      <c r="J49" s="487" t="n"/>
      <c r="K49" s="487" t="n"/>
      <c r="L49" s="487" t="n"/>
      <c r="M49" s="487" t="n"/>
      <c r="N49" s="487" t="n"/>
      <c r="O49" s="487" t="n"/>
      <c r="P49" s="487" t="n"/>
      <c r="Q49" s="487" t="n"/>
      <c r="R49" s="487" t="n"/>
      <c r="S49" s="487" t="n"/>
      <c r="T49" s="487" t="n"/>
      <c r="U49" s="487" t="n"/>
      <c r="V49" s="487" t="n"/>
      <c r="W49" s="487" t="n"/>
      <c r="X49" s="487" t="n"/>
      <c r="Y49" s="487" t="n"/>
      <c r="Z49" s="487" t="n"/>
      <c r="AA49" s="487" t="n"/>
      <c r="AB49" s="487" t="n"/>
      <c r="AC49" s="487" t="n"/>
      <c r="AD49" s="487" t="n"/>
      <c r="AE49" s="487" t="n"/>
      <c r="AF49" s="487" t="n"/>
      <c r="AG49" s="487" t="n"/>
      <c r="AH49" s="487" t="n"/>
      <c r="AI49" s="487" t="n"/>
      <c r="AJ49" s="487" t="n"/>
      <c r="AK49" s="487" t="n"/>
    </row>
    <row r="50" ht="15.75" customHeight="1" s="335">
      <c r="A50" s="486" t="n"/>
      <c r="B50" s="487" t="n"/>
      <c r="C50" s="487" t="n"/>
      <c r="D50" s="488" t="n"/>
      <c r="E50" s="487" t="n"/>
      <c r="F50" s="487" t="n"/>
      <c r="G50" s="487" t="n"/>
      <c r="H50" s="487" t="n"/>
      <c r="I50" s="487" t="n"/>
      <c r="J50" s="487" t="n"/>
      <c r="K50" s="487" t="n"/>
      <c r="L50" s="487" t="n"/>
      <c r="M50" s="487" t="n"/>
      <c r="N50" s="487" t="n"/>
      <c r="O50" s="487" t="n"/>
      <c r="P50" s="487" t="n"/>
      <c r="Q50" s="487" t="n"/>
      <c r="R50" s="487" t="n"/>
      <c r="S50" s="487" t="n"/>
      <c r="T50" s="487" t="n"/>
      <c r="U50" s="487" t="n"/>
      <c r="V50" s="487" t="n"/>
      <c r="W50" s="487" t="n"/>
      <c r="X50" s="487" t="n"/>
      <c r="Y50" s="487" t="n"/>
      <c r="Z50" s="487" t="n"/>
      <c r="AA50" s="487" t="n"/>
      <c r="AB50" s="487" t="n"/>
      <c r="AC50" s="487" t="n"/>
      <c r="AD50" s="487" t="n"/>
      <c r="AE50" s="487" t="n"/>
      <c r="AF50" s="487" t="n"/>
      <c r="AG50" s="487" t="n"/>
      <c r="AH50" s="487" t="n"/>
      <c r="AI50" s="487" t="n"/>
      <c r="AJ50" s="487" t="n"/>
      <c r="AK50" s="487" t="n"/>
    </row>
    <row r="51" ht="15.75" customHeight="1" s="335">
      <c r="A51" s="486" t="n"/>
      <c r="B51" s="487" t="n"/>
      <c r="C51" s="487" t="n"/>
      <c r="D51" s="488" t="n"/>
      <c r="E51" s="487" t="n"/>
      <c r="F51" s="487" t="n"/>
      <c r="G51" s="487" t="n"/>
      <c r="H51" s="487" t="n"/>
      <c r="I51" s="487" t="n"/>
      <c r="J51" s="487" t="n"/>
      <c r="K51" s="487" t="n"/>
      <c r="L51" s="487" t="n"/>
      <c r="M51" s="487" t="n"/>
      <c r="N51" s="487" t="n"/>
      <c r="O51" s="487" t="n"/>
      <c r="P51" s="487" t="n"/>
      <c r="Q51" s="487" t="n"/>
      <c r="R51" s="487" t="n"/>
      <c r="S51" s="487" t="n"/>
      <c r="T51" s="487" t="n"/>
      <c r="U51" s="487" t="n"/>
      <c r="V51" s="487" t="n"/>
      <c r="W51" s="487" t="n"/>
      <c r="X51" s="487" t="n"/>
      <c r="Y51" s="487" t="n"/>
      <c r="Z51" s="487" t="n"/>
      <c r="AA51" s="487" t="n"/>
      <c r="AB51" s="487" t="n"/>
      <c r="AC51" s="487" t="n"/>
      <c r="AD51" s="487" t="n"/>
      <c r="AE51" s="487" t="n"/>
      <c r="AF51" s="487" t="n"/>
      <c r="AG51" s="487" t="n"/>
      <c r="AH51" s="487" t="n"/>
      <c r="AI51" s="487" t="n"/>
      <c r="AJ51" s="487" t="n"/>
      <c r="AK51" s="487" t="n"/>
    </row>
    <row r="52" ht="15.75" customHeight="1" s="335">
      <c r="A52" s="486" t="n"/>
      <c r="B52" s="487" t="n"/>
      <c r="C52" s="487" t="n"/>
      <c r="D52" s="488" t="n"/>
      <c r="E52" s="487" t="n"/>
      <c r="F52" s="487" t="n"/>
      <c r="G52" s="487" t="n"/>
      <c r="H52" s="487" t="n"/>
      <c r="I52" s="487" t="n"/>
      <c r="J52" s="487" t="n"/>
      <c r="K52" s="487" t="n"/>
      <c r="L52" s="487" t="n"/>
      <c r="M52" s="487" t="n"/>
      <c r="N52" s="487" t="n"/>
      <c r="O52" s="487" t="n"/>
      <c r="P52" s="487" t="n"/>
      <c r="Q52" s="487" t="n"/>
      <c r="R52" s="487" t="n"/>
      <c r="S52" s="487" t="n"/>
      <c r="T52" s="487" t="n"/>
      <c r="U52" s="487" t="n"/>
      <c r="V52" s="487" t="n"/>
      <c r="W52" s="487" t="n"/>
      <c r="X52" s="487" t="n"/>
      <c r="Y52" s="487" t="n"/>
      <c r="Z52" s="487" t="n"/>
      <c r="AA52" s="487" t="n"/>
      <c r="AB52" s="487" t="n"/>
      <c r="AC52" s="487" t="n"/>
      <c r="AD52" s="487" t="n"/>
      <c r="AE52" s="487" t="n"/>
      <c r="AF52" s="487" t="n"/>
      <c r="AG52" s="487" t="n"/>
      <c r="AH52" s="487" t="n"/>
      <c r="AI52" s="487" t="n"/>
      <c r="AJ52" s="487" t="n"/>
      <c r="AK52" s="487" t="n"/>
    </row>
    <row r="53" ht="15.75" customHeight="1" s="335">
      <c r="A53" s="486" t="n"/>
      <c r="B53" s="487" t="n"/>
      <c r="C53" s="487" t="n"/>
      <c r="D53" s="488" t="n"/>
      <c r="E53" s="487" t="n"/>
      <c r="F53" s="487" t="n"/>
      <c r="G53" s="487" t="n"/>
      <c r="H53" s="487" t="n"/>
      <c r="I53" s="487" t="n"/>
      <c r="J53" s="487" t="n"/>
      <c r="K53" s="487" t="n"/>
      <c r="L53" s="487" t="n"/>
      <c r="M53" s="487" t="n"/>
      <c r="N53" s="487" t="n"/>
      <c r="O53" s="487" t="n"/>
      <c r="P53" s="487" t="n"/>
      <c r="Q53" s="487" t="n"/>
      <c r="R53" s="487" t="n"/>
      <c r="S53" s="487" t="n"/>
      <c r="T53" s="487" t="n"/>
      <c r="U53" s="487" t="n"/>
      <c r="V53" s="487" t="n"/>
      <c r="W53" s="487" t="n"/>
      <c r="X53" s="487" t="n"/>
      <c r="Y53" s="487" t="n"/>
      <c r="Z53" s="487" t="n"/>
      <c r="AA53" s="487" t="n"/>
      <c r="AB53" s="487" t="n"/>
      <c r="AC53" s="487" t="n"/>
      <c r="AD53" s="487" t="n"/>
      <c r="AE53" s="487" t="n"/>
      <c r="AF53" s="487" t="n"/>
      <c r="AG53" s="487" t="n"/>
      <c r="AH53" s="487" t="n"/>
      <c r="AI53" s="487" t="n"/>
      <c r="AJ53" s="487" t="n"/>
      <c r="AK53" s="487" t="n"/>
    </row>
    <row r="54" ht="15.75" customHeight="1" s="335">
      <c r="A54" s="486" t="n"/>
      <c r="B54" s="487" t="n"/>
      <c r="C54" s="487" t="n"/>
      <c r="D54" s="488" t="n"/>
      <c r="E54" s="487" t="n"/>
      <c r="F54" s="487" t="n"/>
      <c r="G54" s="487" t="n"/>
      <c r="H54" s="487" t="n"/>
      <c r="I54" s="487" t="n"/>
      <c r="J54" s="487" t="n"/>
      <c r="K54" s="487" t="n"/>
      <c r="L54" s="487" t="n"/>
      <c r="M54" s="487" t="n"/>
      <c r="N54" s="487" t="n"/>
      <c r="O54" s="487" t="n"/>
      <c r="P54" s="487" t="n"/>
      <c r="Q54" s="487" t="n"/>
      <c r="R54" s="487" t="n"/>
      <c r="S54" s="487" t="n"/>
      <c r="T54" s="487" t="n"/>
      <c r="U54" s="487" t="n"/>
      <c r="V54" s="487" t="n"/>
      <c r="W54" s="487" t="n"/>
      <c r="X54" s="487" t="n"/>
      <c r="Y54" s="487" t="n"/>
      <c r="Z54" s="487" t="n"/>
      <c r="AA54" s="487" t="n"/>
      <c r="AB54" s="487" t="n"/>
      <c r="AC54" s="487" t="n"/>
      <c r="AD54" s="487" t="n"/>
      <c r="AE54" s="487" t="n"/>
      <c r="AF54" s="487" t="n"/>
      <c r="AG54" s="487" t="n"/>
      <c r="AH54" s="487" t="n"/>
      <c r="AI54" s="487" t="n"/>
      <c r="AJ54" s="487" t="n"/>
      <c r="AK54" s="487" t="n"/>
    </row>
    <row r="55" ht="15.75" customHeight="1" s="335">
      <c r="A55" s="486" t="n"/>
      <c r="B55" s="487" t="n"/>
      <c r="C55" s="487" t="n"/>
      <c r="D55" s="488" t="n"/>
      <c r="E55" s="487" t="n"/>
      <c r="F55" s="487" t="n"/>
      <c r="G55" s="487" t="n"/>
      <c r="H55" s="487" t="n"/>
      <c r="I55" s="487" t="n"/>
      <c r="J55" s="487" t="n"/>
      <c r="K55" s="487" t="n"/>
      <c r="L55" s="487" t="n"/>
      <c r="M55" s="487" t="n"/>
      <c r="N55" s="487" t="n"/>
      <c r="O55" s="487" t="n"/>
      <c r="P55" s="487" t="n"/>
      <c r="Q55" s="487" t="n"/>
      <c r="R55" s="487" t="n"/>
      <c r="S55" s="487" t="n"/>
      <c r="T55" s="487" t="n"/>
      <c r="U55" s="487" t="n"/>
      <c r="V55" s="487" t="n"/>
      <c r="W55" s="487" t="n"/>
      <c r="X55" s="487" t="n"/>
      <c r="Y55" s="487" t="n"/>
      <c r="Z55" s="487" t="n"/>
      <c r="AA55" s="487" t="n"/>
      <c r="AB55" s="487" t="n"/>
      <c r="AC55" s="487" t="n"/>
      <c r="AD55" s="487" t="n"/>
      <c r="AE55" s="487" t="n"/>
      <c r="AF55" s="487" t="n"/>
      <c r="AG55" s="487" t="n"/>
      <c r="AH55" s="487" t="n"/>
      <c r="AI55" s="487" t="n"/>
      <c r="AJ55" s="487" t="n"/>
      <c r="AK55" s="487" t="n"/>
    </row>
    <row r="56" ht="15.75" customHeight="1" s="335">
      <c r="A56" s="486" t="n"/>
      <c r="B56" s="487" t="n"/>
      <c r="C56" s="487" t="n"/>
      <c r="D56" s="488" t="n"/>
      <c r="E56" s="487" t="n"/>
      <c r="F56" s="487" t="n"/>
      <c r="G56" s="487" t="n"/>
      <c r="H56" s="487" t="n"/>
      <c r="I56" s="487" t="n"/>
      <c r="J56" s="487" t="n"/>
      <c r="K56" s="487" t="n"/>
      <c r="L56" s="487" t="n"/>
      <c r="M56" s="487" t="n"/>
      <c r="N56" s="487" t="n"/>
      <c r="O56" s="487" t="n"/>
      <c r="P56" s="487" t="n"/>
      <c r="Q56" s="487" t="n"/>
      <c r="R56" s="487" t="n"/>
      <c r="S56" s="487" t="n"/>
      <c r="T56" s="487" t="n"/>
      <c r="U56" s="487" t="n"/>
      <c r="V56" s="487" t="n"/>
      <c r="W56" s="487" t="n"/>
      <c r="X56" s="487" t="n"/>
      <c r="Y56" s="487" t="n"/>
      <c r="Z56" s="487" t="n"/>
      <c r="AA56" s="487" t="n"/>
      <c r="AB56" s="487" t="n"/>
      <c r="AC56" s="487" t="n"/>
      <c r="AD56" s="487" t="n"/>
      <c r="AE56" s="487" t="n"/>
      <c r="AF56" s="487" t="n"/>
      <c r="AG56" s="487" t="n"/>
      <c r="AH56" s="487" t="n"/>
      <c r="AI56" s="487" t="n"/>
      <c r="AJ56" s="487" t="n"/>
      <c r="AK56" s="487" t="n"/>
    </row>
    <row r="57" ht="15.75" customHeight="1" s="335">
      <c r="A57" s="486" t="n"/>
      <c r="B57" s="487" t="n"/>
      <c r="C57" s="487" t="n"/>
      <c r="D57" s="488" t="n"/>
      <c r="E57" s="487" t="n"/>
      <c r="F57" s="487" t="n"/>
      <c r="G57" s="487" t="n"/>
      <c r="H57" s="487" t="n"/>
      <c r="I57" s="487" t="n"/>
      <c r="J57" s="487" t="n"/>
      <c r="K57" s="487" t="n"/>
      <c r="L57" s="487" t="n"/>
      <c r="M57" s="487" t="n"/>
      <c r="N57" s="487" t="n"/>
      <c r="O57" s="487" t="n"/>
      <c r="P57" s="487" t="n"/>
      <c r="Q57" s="487" t="n"/>
      <c r="R57" s="487" t="n"/>
      <c r="S57" s="487" t="n"/>
      <c r="T57" s="487" t="n"/>
      <c r="U57" s="487" t="n"/>
      <c r="V57" s="487" t="n"/>
      <c r="W57" s="487" t="n"/>
      <c r="X57" s="487" t="n"/>
      <c r="Y57" s="487" t="n"/>
      <c r="Z57" s="487" t="n"/>
      <c r="AA57" s="487" t="n"/>
      <c r="AB57" s="487" t="n"/>
      <c r="AC57" s="487" t="n"/>
      <c r="AD57" s="487" t="n"/>
      <c r="AE57" s="487" t="n"/>
      <c r="AF57" s="487" t="n"/>
      <c r="AG57" s="487" t="n"/>
      <c r="AH57" s="487" t="n"/>
      <c r="AI57" s="487" t="n"/>
      <c r="AJ57" s="487" t="n"/>
      <c r="AK57" s="487" t="n"/>
    </row>
    <row r="58" ht="15.75" customHeight="1" s="335">
      <c r="A58" s="486" t="n"/>
      <c r="B58" s="487" t="n"/>
      <c r="C58" s="487" t="n"/>
      <c r="D58" s="488" t="n"/>
      <c r="E58" s="487" t="n"/>
      <c r="F58" s="487" t="n"/>
      <c r="G58" s="487" t="n"/>
      <c r="H58" s="487" t="n"/>
      <c r="I58" s="487" t="n"/>
      <c r="J58" s="487" t="n"/>
      <c r="K58" s="487" t="n"/>
      <c r="L58" s="487" t="n"/>
      <c r="M58" s="487" t="n"/>
      <c r="N58" s="487" t="n"/>
      <c r="O58" s="487" t="n"/>
      <c r="P58" s="487" t="n"/>
      <c r="Q58" s="487" t="n"/>
      <c r="R58" s="487" t="n"/>
      <c r="S58" s="487" t="n"/>
      <c r="T58" s="487" t="n"/>
      <c r="U58" s="487" t="n"/>
      <c r="V58" s="487" t="n"/>
      <c r="W58" s="487" t="n"/>
      <c r="X58" s="487" t="n"/>
      <c r="Y58" s="487" t="n"/>
      <c r="Z58" s="487" t="n"/>
      <c r="AA58" s="487" t="n"/>
      <c r="AB58" s="487" t="n"/>
      <c r="AC58" s="487" t="n"/>
      <c r="AD58" s="487" t="n"/>
      <c r="AE58" s="487" t="n"/>
      <c r="AF58" s="487" t="n"/>
      <c r="AG58" s="487" t="n"/>
      <c r="AH58" s="487" t="n"/>
      <c r="AI58" s="487" t="n"/>
      <c r="AJ58" s="487" t="n"/>
      <c r="AK58" s="487" t="n"/>
    </row>
    <row r="59" ht="15.75" customHeight="1" s="335">
      <c r="A59" s="486" t="n"/>
      <c r="B59" s="487" t="n"/>
      <c r="C59" s="487" t="n"/>
      <c r="D59" s="488" t="n"/>
      <c r="E59" s="487" t="n"/>
      <c r="F59" s="487" t="n"/>
      <c r="G59" s="487" t="n"/>
      <c r="H59" s="487" t="n"/>
      <c r="I59" s="487" t="n"/>
      <c r="J59" s="487" t="n"/>
      <c r="K59" s="487" t="n"/>
      <c r="L59" s="487" t="n"/>
      <c r="M59" s="487" t="n"/>
      <c r="N59" s="487" t="n"/>
      <c r="O59" s="487" t="n"/>
      <c r="P59" s="487" t="n"/>
      <c r="Q59" s="487" t="n"/>
      <c r="R59" s="487" t="n"/>
      <c r="S59" s="487" t="n"/>
      <c r="T59" s="487" t="n"/>
      <c r="U59" s="487" t="n"/>
      <c r="V59" s="487" t="n"/>
      <c r="W59" s="487" t="n"/>
      <c r="X59" s="487" t="n"/>
      <c r="Y59" s="487" t="n"/>
      <c r="Z59" s="487" t="n"/>
      <c r="AA59" s="487" t="n"/>
      <c r="AB59" s="487" t="n"/>
      <c r="AC59" s="487" t="n"/>
      <c r="AD59" s="487" t="n"/>
      <c r="AE59" s="487" t="n"/>
      <c r="AF59" s="487" t="n"/>
      <c r="AG59" s="487" t="n"/>
      <c r="AH59" s="487" t="n"/>
      <c r="AI59" s="487" t="n"/>
      <c r="AJ59" s="487" t="n"/>
      <c r="AK59" s="487" t="n"/>
    </row>
    <row r="60" ht="15.75" customHeight="1" s="335">
      <c r="A60" s="486" t="n"/>
      <c r="B60" s="487" t="n"/>
      <c r="C60" s="487" t="n"/>
      <c r="D60" s="488" t="n"/>
      <c r="E60" s="487" t="n"/>
      <c r="F60" s="487" t="n"/>
      <c r="G60" s="487" t="n"/>
      <c r="H60" s="487" t="n"/>
      <c r="I60" s="487" t="n"/>
      <c r="J60" s="487" t="n"/>
      <c r="K60" s="487" t="n"/>
      <c r="L60" s="487" t="n"/>
      <c r="M60" s="487" t="n"/>
      <c r="N60" s="487" t="n"/>
      <c r="O60" s="487" t="n"/>
      <c r="P60" s="487" t="n"/>
      <c r="Q60" s="487" t="n"/>
      <c r="R60" s="487" t="n"/>
      <c r="S60" s="487" t="n"/>
      <c r="T60" s="487" t="n"/>
      <c r="U60" s="487" t="n"/>
      <c r="V60" s="487" t="n"/>
      <c r="W60" s="487" t="n"/>
      <c r="X60" s="487" t="n"/>
      <c r="Y60" s="487" t="n"/>
      <c r="Z60" s="487" t="n"/>
      <c r="AA60" s="487" t="n"/>
      <c r="AB60" s="487" t="n"/>
      <c r="AC60" s="487" t="n"/>
      <c r="AD60" s="487" t="n"/>
      <c r="AE60" s="487" t="n"/>
      <c r="AF60" s="487" t="n"/>
      <c r="AG60" s="487" t="n"/>
      <c r="AH60" s="487" t="n"/>
      <c r="AI60" s="487" t="n"/>
      <c r="AJ60" s="487" t="n"/>
      <c r="AK60" s="487" t="n"/>
    </row>
    <row r="61" ht="15.75" customHeight="1" s="335">
      <c r="A61" s="486" t="n"/>
      <c r="B61" s="487" t="n"/>
      <c r="C61" s="487" t="n"/>
      <c r="D61" s="488" t="n"/>
      <c r="E61" s="487" t="n"/>
      <c r="F61" s="487" t="n"/>
      <c r="G61" s="487" t="n"/>
      <c r="H61" s="487" t="n"/>
      <c r="I61" s="487" t="n"/>
      <c r="J61" s="487" t="n"/>
      <c r="K61" s="487" t="n"/>
      <c r="L61" s="487" t="n"/>
      <c r="M61" s="487" t="n"/>
      <c r="N61" s="487" t="n"/>
      <c r="O61" s="487" t="n"/>
      <c r="P61" s="487" t="n"/>
      <c r="Q61" s="487" t="n"/>
      <c r="R61" s="487" t="n"/>
      <c r="S61" s="487" t="n"/>
      <c r="T61" s="487" t="n"/>
      <c r="U61" s="487" t="n"/>
      <c r="V61" s="487" t="n"/>
      <c r="W61" s="487" t="n"/>
      <c r="X61" s="487" t="n"/>
      <c r="Y61" s="487" t="n"/>
      <c r="Z61" s="487" t="n"/>
      <c r="AA61" s="487" t="n"/>
      <c r="AB61" s="487" t="n"/>
      <c r="AC61" s="487" t="n"/>
      <c r="AD61" s="487" t="n"/>
      <c r="AE61" s="487" t="n"/>
      <c r="AF61" s="487" t="n"/>
      <c r="AG61" s="487" t="n"/>
      <c r="AH61" s="487" t="n"/>
      <c r="AI61" s="487" t="n"/>
      <c r="AJ61" s="487" t="n"/>
      <c r="AK61" s="487" t="n"/>
    </row>
    <row r="62" ht="15.75" customHeight="1" s="335">
      <c r="A62" s="486" t="n"/>
      <c r="B62" s="487" t="n"/>
      <c r="C62" s="487" t="n"/>
      <c r="D62" s="488" t="n"/>
      <c r="E62" s="487" t="n"/>
      <c r="F62" s="487" t="n"/>
      <c r="G62" s="487" t="n"/>
      <c r="H62" s="487" t="n"/>
      <c r="I62" s="487" t="n"/>
      <c r="J62" s="487" t="n"/>
      <c r="K62" s="487" t="n"/>
      <c r="L62" s="487" t="n"/>
      <c r="M62" s="487" t="n"/>
      <c r="N62" s="487" t="n"/>
      <c r="O62" s="487" t="n"/>
      <c r="P62" s="487" t="n"/>
      <c r="Q62" s="487" t="n"/>
      <c r="R62" s="487" t="n"/>
      <c r="S62" s="487" t="n"/>
      <c r="T62" s="487" t="n"/>
      <c r="U62" s="487" t="n"/>
      <c r="V62" s="487" t="n"/>
      <c r="W62" s="487" t="n"/>
      <c r="X62" s="487" t="n"/>
      <c r="Y62" s="487" t="n"/>
      <c r="Z62" s="487" t="n"/>
      <c r="AA62" s="487" t="n"/>
      <c r="AB62" s="487" t="n"/>
      <c r="AC62" s="487" t="n"/>
      <c r="AD62" s="487" t="n"/>
      <c r="AE62" s="487" t="n"/>
      <c r="AF62" s="487" t="n"/>
      <c r="AG62" s="487" t="n"/>
      <c r="AH62" s="487" t="n"/>
      <c r="AI62" s="487" t="n"/>
      <c r="AJ62" s="487" t="n"/>
      <c r="AK62" s="487" t="n"/>
    </row>
    <row r="63" ht="15.75" customHeight="1" s="335">
      <c r="A63" s="486" t="n"/>
      <c r="B63" s="487" t="n"/>
      <c r="C63" s="487" t="n"/>
      <c r="D63" s="488" t="n"/>
      <c r="E63" s="487" t="n"/>
      <c r="F63" s="487" t="n"/>
      <c r="G63" s="487" t="n"/>
      <c r="H63" s="487" t="n"/>
      <c r="I63" s="487" t="n"/>
      <c r="J63" s="487" t="n"/>
      <c r="K63" s="487" t="n"/>
      <c r="L63" s="487" t="n"/>
      <c r="M63" s="487" t="n"/>
      <c r="N63" s="487" t="n"/>
      <c r="O63" s="487" t="n"/>
      <c r="P63" s="487" t="n"/>
      <c r="Q63" s="487" t="n"/>
      <c r="R63" s="487" t="n"/>
      <c r="S63" s="487" t="n"/>
      <c r="T63" s="487" t="n"/>
      <c r="U63" s="487" t="n"/>
      <c r="V63" s="487" t="n"/>
      <c r="W63" s="487" t="n"/>
      <c r="X63" s="487" t="n"/>
      <c r="Y63" s="487" t="n"/>
      <c r="Z63" s="487" t="n"/>
      <c r="AA63" s="487" t="n"/>
      <c r="AB63" s="487" t="n"/>
      <c r="AC63" s="487" t="n"/>
      <c r="AD63" s="487" t="n"/>
      <c r="AE63" s="487" t="n"/>
      <c r="AF63" s="487" t="n"/>
      <c r="AG63" s="487" t="n"/>
      <c r="AH63" s="487" t="n"/>
      <c r="AI63" s="487" t="n"/>
      <c r="AJ63" s="487" t="n"/>
      <c r="AK63" s="487" t="n"/>
    </row>
    <row r="64" ht="15.75" customHeight="1" s="335">
      <c r="A64" s="486" t="n"/>
      <c r="B64" s="487" t="n"/>
      <c r="C64" s="487" t="n"/>
      <c r="D64" s="488" t="n"/>
      <c r="E64" s="487" t="n"/>
      <c r="F64" s="487" t="n"/>
      <c r="G64" s="487" t="n"/>
      <c r="H64" s="487" t="n"/>
      <c r="I64" s="487" t="n"/>
      <c r="J64" s="487" t="n"/>
      <c r="K64" s="487" t="n"/>
      <c r="L64" s="487" t="n"/>
      <c r="M64" s="487" t="n"/>
      <c r="N64" s="487" t="n"/>
      <c r="O64" s="487" t="n"/>
      <c r="P64" s="487" t="n"/>
      <c r="Q64" s="487" t="n"/>
      <c r="R64" s="487" t="n"/>
      <c r="S64" s="487" t="n"/>
      <c r="T64" s="487" t="n"/>
      <c r="U64" s="487" t="n"/>
      <c r="V64" s="487" t="n"/>
      <c r="W64" s="487" t="n"/>
      <c r="X64" s="487" t="n"/>
      <c r="Y64" s="487" t="n"/>
      <c r="Z64" s="487" t="n"/>
      <c r="AA64" s="487" t="n"/>
      <c r="AB64" s="487" t="n"/>
      <c r="AC64" s="487" t="n"/>
      <c r="AD64" s="487" t="n"/>
      <c r="AE64" s="487" t="n"/>
      <c r="AF64" s="487" t="n"/>
      <c r="AG64" s="487" t="n"/>
      <c r="AH64" s="487" t="n"/>
      <c r="AI64" s="487" t="n"/>
      <c r="AJ64" s="487" t="n"/>
      <c r="AK64" s="487" t="n"/>
    </row>
    <row r="65" ht="15.75" customHeight="1" s="335">
      <c r="A65" s="486" t="n"/>
      <c r="B65" s="487" t="n"/>
      <c r="C65" s="487" t="n"/>
      <c r="D65" s="488" t="n"/>
      <c r="E65" s="487" t="n"/>
      <c r="F65" s="487" t="n"/>
      <c r="G65" s="487" t="n"/>
      <c r="H65" s="487" t="n"/>
      <c r="I65" s="487" t="n"/>
      <c r="J65" s="487" t="n"/>
      <c r="K65" s="487" t="n"/>
      <c r="L65" s="487" t="n"/>
      <c r="M65" s="487" t="n"/>
      <c r="N65" s="487" t="n"/>
      <c r="O65" s="487" t="n"/>
      <c r="P65" s="487" t="n"/>
      <c r="Q65" s="487" t="n"/>
      <c r="R65" s="487" t="n"/>
      <c r="S65" s="487" t="n"/>
      <c r="T65" s="487" t="n"/>
      <c r="U65" s="487" t="n"/>
      <c r="V65" s="487" t="n"/>
      <c r="W65" s="487" t="n"/>
      <c r="X65" s="487" t="n"/>
      <c r="Y65" s="487" t="n"/>
      <c r="Z65" s="487" t="n"/>
      <c r="AA65" s="487" t="n"/>
      <c r="AB65" s="487" t="n"/>
      <c r="AC65" s="487" t="n"/>
      <c r="AD65" s="487" t="n"/>
      <c r="AE65" s="487" t="n"/>
      <c r="AF65" s="487" t="n"/>
      <c r="AG65" s="487" t="n"/>
      <c r="AH65" s="487" t="n"/>
      <c r="AI65" s="487" t="n"/>
      <c r="AJ65" s="487" t="n"/>
      <c r="AK65" s="487" t="n"/>
    </row>
    <row r="66" ht="15.75" customHeight="1" s="335">
      <c r="A66" s="486" t="n"/>
      <c r="B66" s="487" t="n"/>
      <c r="C66" s="487" t="n"/>
      <c r="D66" s="488" t="n"/>
      <c r="E66" s="487" t="n"/>
      <c r="F66" s="487" t="n"/>
      <c r="G66" s="487" t="n"/>
      <c r="H66" s="487" t="n"/>
      <c r="I66" s="487" t="n"/>
      <c r="J66" s="487" t="n"/>
      <c r="K66" s="487" t="n"/>
      <c r="L66" s="487" t="n"/>
      <c r="M66" s="487" t="n"/>
      <c r="N66" s="487" t="n"/>
      <c r="O66" s="487" t="n"/>
      <c r="P66" s="487" t="n"/>
      <c r="Q66" s="487" t="n"/>
      <c r="R66" s="487" t="n"/>
      <c r="S66" s="487" t="n"/>
      <c r="T66" s="487" t="n"/>
      <c r="U66" s="487" t="n"/>
      <c r="V66" s="487" t="n"/>
      <c r="W66" s="487" t="n"/>
      <c r="X66" s="487" t="n"/>
      <c r="Y66" s="487" t="n"/>
      <c r="Z66" s="487" t="n"/>
      <c r="AA66" s="487" t="n"/>
      <c r="AB66" s="487" t="n"/>
      <c r="AC66" s="487" t="n"/>
      <c r="AD66" s="487" t="n"/>
      <c r="AE66" s="487" t="n"/>
      <c r="AF66" s="487" t="n"/>
      <c r="AG66" s="487" t="n"/>
      <c r="AH66" s="487" t="n"/>
      <c r="AI66" s="487" t="n"/>
      <c r="AJ66" s="487" t="n"/>
      <c r="AK66" s="487" t="n"/>
    </row>
    <row r="67" ht="15.75" customHeight="1" s="335">
      <c r="A67" s="486" t="n"/>
      <c r="B67" s="487" t="n"/>
      <c r="C67" s="487" t="n"/>
      <c r="D67" s="488" t="n"/>
      <c r="E67" s="487" t="n"/>
      <c r="F67" s="487" t="n"/>
      <c r="G67" s="487" t="n"/>
      <c r="H67" s="487" t="n"/>
      <c r="I67" s="487" t="n"/>
      <c r="J67" s="487" t="n"/>
      <c r="K67" s="487" t="n"/>
      <c r="L67" s="487" t="n"/>
      <c r="M67" s="487" t="n"/>
      <c r="N67" s="487" t="n"/>
      <c r="O67" s="487" t="n"/>
      <c r="P67" s="487" t="n"/>
      <c r="Q67" s="487" t="n"/>
      <c r="R67" s="487" t="n"/>
      <c r="S67" s="487" t="n"/>
      <c r="T67" s="487" t="n"/>
      <c r="U67" s="487" t="n"/>
      <c r="V67" s="487" t="n"/>
      <c r="W67" s="487" t="n"/>
      <c r="X67" s="487" t="n"/>
      <c r="Y67" s="487" t="n"/>
      <c r="Z67" s="487" t="n"/>
      <c r="AA67" s="487" t="n"/>
      <c r="AB67" s="487" t="n"/>
      <c r="AC67" s="487" t="n"/>
      <c r="AD67" s="487" t="n"/>
      <c r="AE67" s="487" t="n"/>
      <c r="AF67" s="487" t="n"/>
      <c r="AG67" s="487" t="n"/>
      <c r="AH67" s="487" t="n"/>
      <c r="AI67" s="487" t="n"/>
      <c r="AJ67" s="487" t="n"/>
      <c r="AK67" s="487" t="n"/>
    </row>
    <row r="68" ht="15.75" customHeight="1" s="335">
      <c r="A68" s="486" t="n"/>
      <c r="B68" s="487" t="n"/>
      <c r="C68" s="487" t="n"/>
      <c r="D68" s="488" t="n"/>
      <c r="E68" s="487" t="n"/>
      <c r="F68" s="487" t="n"/>
      <c r="G68" s="487" t="n"/>
      <c r="H68" s="487" t="n"/>
      <c r="I68" s="487" t="n"/>
      <c r="J68" s="487" t="n"/>
      <c r="K68" s="487" t="n"/>
      <c r="L68" s="487" t="n"/>
      <c r="M68" s="487" t="n"/>
      <c r="N68" s="487" t="n"/>
      <c r="O68" s="487" t="n"/>
      <c r="P68" s="487" t="n"/>
      <c r="Q68" s="487" t="n"/>
      <c r="R68" s="487" t="n"/>
      <c r="S68" s="487" t="n"/>
      <c r="T68" s="487" t="n"/>
      <c r="U68" s="487" t="n"/>
      <c r="V68" s="487" t="n"/>
      <c r="W68" s="487" t="n"/>
      <c r="X68" s="487" t="n"/>
      <c r="Y68" s="487" t="n"/>
      <c r="Z68" s="487" t="n"/>
      <c r="AA68" s="487" t="n"/>
      <c r="AB68" s="487" t="n"/>
      <c r="AC68" s="487" t="n"/>
      <c r="AD68" s="487" t="n"/>
      <c r="AE68" s="487" t="n"/>
      <c r="AF68" s="487" t="n"/>
      <c r="AG68" s="487" t="n"/>
      <c r="AH68" s="487" t="n"/>
      <c r="AI68" s="487" t="n"/>
      <c r="AJ68" s="487" t="n"/>
      <c r="AK68" s="487" t="n"/>
    </row>
    <row r="69" ht="15.75" customHeight="1" s="335">
      <c r="A69" s="486" t="n"/>
      <c r="B69" s="487" t="n"/>
      <c r="C69" s="487" t="n"/>
      <c r="D69" s="488" t="n"/>
      <c r="E69" s="487" t="n"/>
      <c r="F69" s="487" t="n"/>
      <c r="G69" s="487" t="n"/>
      <c r="H69" s="487" t="n"/>
      <c r="I69" s="487" t="n"/>
      <c r="J69" s="487" t="n"/>
      <c r="K69" s="487" t="n"/>
      <c r="L69" s="487" t="n"/>
      <c r="M69" s="487" t="n"/>
      <c r="N69" s="487" t="n"/>
      <c r="O69" s="487" t="n"/>
      <c r="P69" s="487" t="n"/>
      <c r="Q69" s="487" t="n"/>
      <c r="R69" s="487" t="n"/>
      <c r="S69" s="487" t="n"/>
      <c r="T69" s="487" t="n"/>
      <c r="U69" s="487" t="n"/>
      <c r="V69" s="487" t="n"/>
      <c r="W69" s="487" t="n"/>
      <c r="X69" s="487" t="n"/>
      <c r="Y69" s="487" t="n"/>
      <c r="Z69" s="487" t="n"/>
      <c r="AA69" s="487" t="n"/>
      <c r="AB69" s="487" t="n"/>
      <c r="AC69" s="487" t="n"/>
      <c r="AD69" s="487" t="n"/>
      <c r="AE69" s="487" t="n"/>
      <c r="AF69" s="487" t="n"/>
      <c r="AG69" s="487" t="n"/>
      <c r="AH69" s="487" t="n"/>
      <c r="AI69" s="487" t="n"/>
      <c r="AJ69" s="487" t="n"/>
      <c r="AK69" s="487" t="n"/>
    </row>
    <row r="70" ht="15.75" customHeight="1" s="335">
      <c r="A70" s="486" t="n"/>
      <c r="B70" s="487" t="n"/>
      <c r="C70" s="487" t="n"/>
      <c r="D70" s="488" t="n"/>
      <c r="E70" s="487" t="n"/>
      <c r="F70" s="487" t="n"/>
      <c r="G70" s="487" t="n"/>
      <c r="H70" s="487" t="n"/>
      <c r="I70" s="487" t="n"/>
      <c r="J70" s="487" t="n"/>
      <c r="K70" s="487" t="n"/>
      <c r="L70" s="487" t="n"/>
      <c r="M70" s="487" t="n"/>
      <c r="N70" s="487" t="n"/>
      <c r="O70" s="487" t="n"/>
      <c r="P70" s="487" t="n"/>
      <c r="Q70" s="487" t="n"/>
      <c r="R70" s="487" t="n"/>
      <c r="S70" s="487" t="n"/>
      <c r="T70" s="487" t="n"/>
      <c r="U70" s="487" t="n"/>
      <c r="V70" s="487" t="n"/>
      <c r="W70" s="487" t="n"/>
      <c r="X70" s="487" t="n"/>
      <c r="Y70" s="487" t="n"/>
      <c r="Z70" s="487" t="n"/>
      <c r="AA70" s="487" t="n"/>
      <c r="AB70" s="487" t="n"/>
      <c r="AC70" s="487" t="n"/>
      <c r="AD70" s="487" t="n"/>
      <c r="AE70" s="487" t="n"/>
      <c r="AF70" s="487" t="n"/>
      <c r="AG70" s="487" t="n"/>
      <c r="AH70" s="487" t="n"/>
      <c r="AI70" s="487" t="n"/>
      <c r="AJ70" s="487" t="n"/>
      <c r="AK70" s="487" t="n"/>
    </row>
  </sheetData>
  <mergeCells count="21">
    <mergeCell ref="AD3:AE3"/>
    <mergeCell ref="AF3:AG3"/>
    <mergeCell ref="AH3:AI3"/>
    <mergeCell ref="F3:G3"/>
    <mergeCell ref="L3:M3"/>
    <mergeCell ref="N3:O3"/>
    <mergeCell ref="A3:A4"/>
    <mergeCell ref="D3:D4"/>
    <mergeCell ref="X3:Y3"/>
    <mergeCell ref="Z3:AA3"/>
    <mergeCell ref="AJ3:AK3"/>
    <mergeCell ref="R3:S3"/>
    <mergeCell ref="A1:AK1"/>
    <mergeCell ref="B3:C4"/>
    <mergeCell ref="H3:I3"/>
    <mergeCell ref="J3:K3"/>
    <mergeCell ref="P3:Q3"/>
    <mergeCell ref="E3:E4"/>
    <mergeCell ref="T3:U3"/>
    <mergeCell ref="V3:W3"/>
    <mergeCell ref="AB3:AC3"/>
  </mergeCells>
  <printOptions horizontalCentered="0" verticalCentered="0" headings="0" gridLines="0" gridLinesSet="1"/>
  <pageMargins left="0.420138888888889" right="0.390277777777778" top="0.490277777777778" bottom="0.409722222222222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1" activeCellId="0" sqref="D11"/>
    </sheetView>
  </sheetViews>
  <sheetFormatPr baseColWidth="8" defaultColWidth="8.8984375" defaultRowHeight="15" zeroHeight="0" outlineLevelRow="0"/>
  <cols>
    <col width="3.5" customWidth="1" style="490" min="1" max="1"/>
    <col width="14.12" customWidth="1" style="490" min="2" max="2"/>
    <col width="7.87" customWidth="1" style="490" min="3" max="3"/>
    <col width="32.75" customWidth="1" style="490" min="4" max="4"/>
    <col width="17.24" customWidth="1" style="490" min="5" max="5"/>
    <col width="15.99" customWidth="1" style="490" min="6" max="6"/>
  </cols>
  <sheetData>
    <row r="1" ht="16.5" customHeight="1" s="335">
      <c r="A1" s="463" t="inlineStr">
        <is>
          <t xml:space="preserve">       UBND HUYỆN ĐĂKTÔ</t>
        </is>
      </c>
      <c r="C1" s="376" t="n"/>
      <c r="D1" s="375" t="n"/>
      <c r="E1" s="412" t="inlineStr">
        <is>
          <t>CỘNG HÒA XÃ HỘI CHỦ NGHĨA VIỆT NAM</t>
        </is>
      </c>
      <c r="F1" s="375" t="n"/>
    </row>
    <row r="2" ht="16.5" customHeight="1" s="335">
      <c r="A2" s="491" t="inlineStr">
        <is>
          <t>TRUNG TÂM GDNN - GDTX</t>
        </is>
      </c>
      <c r="C2" s="411" t="n"/>
      <c r="D2" s="375" t="n"/>
      <c r="E2" s="412" t="inlineStr">
        <is>
          <t>Độc lập - Tự do - Hạnh phúc</t>
        </is>
      </c>
      <c r="F2" s="375" t="n"/>
    </row>
    <row r="3" ht="42" customHeight="1" s="335">
      <c r="A3" s="492" t="inlineStr">
        <is>
          <t>DANH SÁCH HỌC VIÊN ĐỦ ĐIỀU KIỆN
DỰ KIỂM TRA KẾT THÚC KHÓA HỌC</t>
        </is>
      </c>
    </row>
    <row r="4" ht="18.75" customHeight="1" s="335">
      <c r="A4" s="417">
        <f>"Lớp đào tạo nghề: "&amp;MENU!E3&amp;"; Khóa: "&amp;MENU!E4&amp;"; Năm "&amp;MENU!E5</f>
        <v/>
      </c>
    </row>
    <row r="5" ht="11.25" customHeight="1" s="335">
      <c r="A5" s="493" t="n"/>
      <c r="B5" s="493" t="n"/>
      <c r="C5" s="493" t="n"/>
      <c r="D5" s="493" t="n"/>
      <c r="E5" s="493" t="n"/>
      <c r="F5" s="375" t="n"/>
    </row>
    <row r="6" ht="38.25" customFormat="1" customHeight="1" s="494">
      <c r="A6" s="422" t="inlineStr">
        <is>
          <t>Số
TT</t>
        </is>
      </c>
      <c r="B6" s="465" t="inlineStr">
        <is>
          <t>Họ và tên</t>
        </is>
      </c>
      <c r="C6" s="422" t="inlineStr">
        <is>
          <t>Năm 
sinh</t>
        </is>
      </c>
      <c r="D6" s="465" t="inlineStr">
        <is>
          <t>Nơi cư trú</t>
        </is>
      </c>
      <c r="E6" s="495" t="inlineStr">
        <is>
          <t>Đủ điều kiện
kiểm tra kết
thúc khóa học</t>
        </is>
      </c>
      <c r="F6" s="495" t="inlineStr">
        <is>
          <t>Lý do không đủ
điều kiện kiểm tra
kết thúc khóa học</t>
        </is>
      </c>
    </row>
    <row r="7" ht="18" customFormat="1" customHeight="1" s="494">
      <c r="A7" s="496" t="inlineStr">
        <is>
          <t>01</t>
        </is>
      </c>
      <c r="B7" s="497">
        <f>'Thông tin hoc sinh'!B3</f>
        <v/>
      </c>
      <c r="C7" s="496">
        <f>'Thông tin hoc sinh'!C3</f>
        <v/>
      </c>
      <c r="D7" s="498">
        <f>'Thông tin hoc sinh'!M3</f>
        <v/>
      </c>
      <c r="E7" s="496" t="inlineStr">
        <is>
          <t>Đủ điều kiện</t>
        </is>
      </c>
      <c r="F7" s="499">
        <f>IF(E7="Đủ điều kiện","","Điền lý do!")</f>
        <v/>
      </c>
    </row>
    <row r="8" ht="18" customFormat="1" customHeight="1" s="494">
      <c r="A8" s="500" t="inlineStr">
        <is>
          <t>02</t>
        </is>
      </c>
      <c r="B8" s="501">
        <f>'Thông tin hoc sinh'!B4</f>
        <v/>
      </c>
      <c r="C8" s="500">
        <f>'Thông tin hoc sinh'!C4</f>
        <v/>
      </c>
      <c r="D8" s="502">
        <f>'Thông tin hoc sinh'!M4</f>
        <v/>
      </c>
      <c r="E8" s="500" t="inlineStr">
        <is>
          <t>Đủ điều kiện</t>
        </is>
      </c>
      <c r="F8" s="503">
        <f>IF(E8="Đủ điều kiện","","Điền lý do!")</f>
        <v/>
      </c>
    </row>
    <row r="9" ht="18" customFormat="1" customHeight="1" s="494">
      <c r="A9" s="500" t="inlineStr">
        <is>
          <t>03</t>
        </is>
      </c>
      <c r="B9" s="501">
        <f>'Thông tin hoc sinh'!B5</f>
        <v/>
      </c>
      <c r="C9" s="500">
        <f>'Thông tin hoc sinh'!C5</f>
        <v/>
      </c>
      <c r="D9" s="502">
        <f>'Thông tin hoc sinh'!M5</f>
        <v/>
      </c>
      <c r="E9" s="500" t="inlineStr">
        <is>
          <t>Đủ điều kiện</t>
        </is>
      </c>
      <c r="F9" s="503">
        <f>IF(E9="Đủ điều kiện","","Điền lý do!")</f>
        <v/>
      </c>
    </row>
    <row r="10" ht="18" customFormat="1" customHeight="1" s="494">
      <c r="A10" s="500" t="inlineStr">
        <is>
          <t>04</t>
        </is>
      </c>
      <c r="B10" s="501">
        <f>'Thông tin hoc sinh'!B6</f>
        <v/>
      </c>
      <c r="C10" s="500">
        <f>'Thông tin hoc sinh'!C6</f>
        <v/>
      </c>
      <c r="D10" s="502">
        <f>'Thông tin hoc sinh'!M6</f>
        <v/>
      </c>
      <c r="E10" s="500" t="inlineStr">
        <is>
          <t>Đủ điều kiện</t>
        </is>
      </c>
      <c r="F10" s="503">
        <f>IF(E10="Đủ điều kiện","","Điền lý do!")</f>
        <v/>
      </c>
    </row>
    <row r="11" ht="18" customFormat="1" customHeight="1" s="494">
      <c r="A11" s="500" t="inlineStr">
        <is>
          <t>05</t>
        </is>
      </c>
      <c r="B11" s="501">
        <f>'Thông tin hoc sinh'!B7</f>
        <v/>
      </c>
      <c r="C11" s="500">
        <f>'Thông tin hoc sinh'!C7</f>
        <v/>
      </c>
      <c r="D11" s="502">
        <f>'Thông tin hoc sinh'!M7</f>
        <v/>
      </c>
      <c r="E11" s="500" t="inlineStr">
        <is>
          <t>Đủ điều kiện</t>
        </is>
      </c>
      <c r="F11" s="503">
        <f>IF(E11="Đủ điều kiện","","Điền lý do!")</f>
        <v/>
      </c>
    </row>
    <row r="12" ht="18" customFormat="1" customHeight="1" s="494">
      <c r="A12" s="500" t="inlineStr">
        <is>
          <t>06</t>
        </is>
      </c>
      <c r="B12" s="501">
        <f>'Thông tin hoc sinh'!B8</f>
        <v/>
      </c>
      <c r="C12" s="500">
        <f>'Thông tin hoc sinh'!C8</f>
        <v/>
      </c>
      <c r="D12" s="502">
        <f>'Thông tin hoc sinh'!M8</f>
        <v/>
      </c>
      <c r="E12" s="500" t="inlineStr">
        <is>
          <t>Không đủ điều kiện</t>
        </is>
      </c>
      <c r="F12" s="503">
        <f>IF(E12="Đủ điều kiện","","Điền lý do!")</f>
        <v/>
      </c>
    </row>
    <row r="13" ht="18" customFormat="1" customHeight="1" s="494">
      <c r="A13" s="500" t="inlineStr">
        <is>
          <t>07</t>
        </is>
      </c>
      <c r="B13" s="501">
        <f>'Thông tin hoc sinh'!B9</f>
        <v/>
      </c>
      <c r="C13" s="500">
        <f>'Thông tin hoc sinh'!C9</f>
        <v/>
      </c>
      <c r="D13" s="502">
        <f>'Thông tin hoc sinh'!M9</f>
        <v/>
      </c>
      <c r="E13" s="500" t="inlineStr">
        <is>
          <t>Đủ điều kiện</t>
        </is>
      </c>
      <c r="F13" s="503">
        <f>IF(E13="Đủ điều kiện","","Điền lý do!")</f>
        <v/>
      </c>
    </row>
    <row r="14" ht="18" customFormat="1" customHeight="1" s="494">
      <c r="A14" s="500" t="inlineStr">
        <is>
          <t>08</t>
        </is>
      </c>
      <c r="B14" s="501">
        <f>'Thông tin hoc sinh'!B10</f>
        <v/>
      </c>
      <c r="C14" s="500">
        <f>'Thông tin hoc sinh'!C10</f>
        <v/>
      </c>
      <c r="D14" s="502">
        <f>'Thông tin hoc sinh'!M10</f>
        <v/>
      </c>
      <c r="E14" s="500" t="inlineStr">
        <is>
          <t>Đủ điều kiện</t>
        </is>
      </c>
      <c r="F14" s="503">
        <f>IF(E14="Đủ điều kiện","","Điền lý do!")</f>
        <v/>
      </c>
    </row>
    <row r="15" ht="18" customFormat="1" customHeight="1" s="494">
      <c r="A15" s="500" t="inlineStr">
        <is>
          <t>09</t>
        </is>
      </c>
      <c r="B15" s="501">
        <f>'Thông tin hoc sinh'!B11</f>
        <v/>
      </c>
      <c r="C15" s="500">
        <f>'Thông tin hoc sinh'!C11</f>
        <v/>
      </c>
      <c r="D15" s="502">
        <f>'Thông tin hoc sinh'!M11</f>
        <v/>
      </c>
      <c r="E15" s="500" t="inlineStr">
        <is>
          <t>Đủ điều kiện</t>
        </is>
      </c>
      <c r="F15" s="503">
        <f>IF(E15="Đủ điều kiện","","Điền lý do!")</f>
        <v/>
      </c>
    </row>
    <row r="16" ht="18" customFormat="1" customHeight="1" s="494">
      <c r="A16" s="500" t="inlineStr">
        <is>
          <t>10</t>
        </is>
      </c>
      <c r="B16" s="501">
        <f>'Thông tin hoc sinh'!B12</f>
        <v/>
      </c>
      <c r="C16" s="500">
        <f>'Thông tin hoc sinh'!C12</f>
        <v/>
      </c>
      <c r="D16" s="502">
        <f>'Thông tin hoc sinh'!M12</f>
        <v/>
      </c>
      <c r="E16" s="500" t="inlineStr">
        <is>
          <t>Đủ điều kiện</t>
        </is>
      </c>
      <c r="F16" s="503">
        <f>IF(E16="Đủ điều kiện","","Điền lý do!")</f>
        <v/>
      </c>
    </row>
    <row r="17" ht="18" customFormat="1" customHeight="1" s="494">
      <c r="A17" s="500" t="inlineStr">
        <is>
          <t>11</t>
        </is>
      </c>
      <c r="B17" s="501">
        <f>'Thông tin hoc sinh'!B13</f>
        <v/>
      </c>
      <c r="C17" s="500">
        <f>'Thông tin hoc sinh'!C13</f>
        <v/>
      </c>
      <c r="D17" s="502">
        <f>'Thông tin hoc sinh'!M13</f>
        <v/>
      </c>
      <c r="E17" s="500" t="inlineStr">
        <is>
          <t>Đủ điều kiện</t>
        </is>
      </c>
      <c r="F17" s="503">
        <f>IF(E17="Đủ điều kiện","","Điền lý do!")</f>
        <v/>
      </c>
    </row>
    <row r="18" ht="18" customFormat="1" customHeight="1" s="494">
      <c r="A18" s="500" t="inlineStr">
        <is>
          <t>12</t>
        </is>
      </c>
      <c r="B18" s="501">
        <f>'Thông tin hoc sinh'!B14</f>
        <v/>
      </c>
      <c r="C18" s="500">
        <f>'Thông tin hoc sinh'!C14</f>
        <v/>
      </c>
      <c r="D18" s="502">
        <f>'Thông tin hoc sinh'!M14</f>
        <v/>
      </c>
      <c r="E18" s="500" t="inlineStr">
        <is>
          <t>Không đủ điều kiện</t>
        </is>
      </c>
      <c r="F18" s="503">
        <f>IF(E18="Đủ điều kiện","","Điền lý do!")</f>
        <v/>
      </c>
    </row>
    <row r="19" ht="18" customFormat="1" customHeight="1" s="494">
      <c r="A19" s="500" t="inlineStr">
        <is>
          <t>13</t>
        </is>
      </c>
      <c r="B19" s="501">
        <f>'Thông tin hoc sinh'!B15</f>
        <v/>
      </c>
      <c r="C19" s="500">
        <f>'Thông tin hoc sinh'!C15</f>
        <v/>
      </c>
      <c r="D19" s="502">
        <f>'Thông tin hoc sinh'!M15</f>
        <v/>
      </c>
      <c r="E19" s="500" t="inlineStr">
        <is>
          <t>Đủ điều kiện</t>
        </is>
      </c>
      <c r="F19" s="503">
        <f>IF(E19="Đủ điều kiện","","Điền lý do!")</f>
        <v/>
      </c>
    </row>
    <row r="20" ht="18" customFormat="1" customHeight="1" s="494">
      <c r="A20" s="500" t="inlineStr">
        <is>
          <t>14</t>
        </is>
      </c>
      <c r="B20" s="501">
        <f>'Thông tin hoc sinh'!B16</f>
        <v/>
      </c>
      <c r="C20" s="500">
        <f>'Thông tin hoc sinh'!C16</f>
        <v/>
      </c>
      <c r="D20" s="502">
        <f>'Thông tin hoc sinh'!M16</f>
        <v/>
      </c>
      <c r="E20" s="500" t="inlineStr">
        <is>
          <t>Đủ điều kiện</t>
        </is>
      </c>
      <c r="F20" s="503">
        <f>IF(E20="Đủ điều kiện","","Điền lý do!")</f>
        <v/>
      </c>
    </row>
    <row r="21" ht="18" customFormat="1" customHeight="1" s="494">
      <c r="A21" s="500" t="inlineStr">
        <is>
          <t>15</t>
        </is>
      </c>
      <c r="B21" s="501">
        <f>'Thông tin hoc sinh'!B17</f>
        <v/>
      </c>
      <c r="C21" s="500">
        <f>'Thông tin hoc sinh'!C17</f>
        <v/>
      </c>
      <c r="D21" s="502">
        <f>'Thông tin hoc sinh'!M17</f>
        <v/>
      </c>
      <c r="E21" s="500" t="inlineStr">
        <is>
          <t>Không đủ điều kiện</t>
        </is>
      </c>
      <c r="F21" s="503">
        <f>IF(E21="Đủ điều kiện","","Điền lý do!")</f>
        <v/>
      </c>
    </row>
    <row r="22" ht="18" customFormat="1" customHeight="1" s="494">
      <c r="A22" s="500" t="inlineStr">
        <is>
          <t>16</t>
        </is>
      </c>
      <c r="B22" s="501">
        <f>'Thông tin hoc sinh'!B18</f>
        <v/>
      </c>
      <c r="C22" s="500">
        <f>'Thông tin hoc sinh'!C18</f>
        <v/>
      </c>
      <c r="D22" s="502">
        <f>'Thông tin hoc sinh'!M18</f>
        <v/>
      </c>
      <c r="E22" s="500" t="inlineStr">
        <is>
          <t>Đủ điều kiện</t>
        </is>
      </c>
      <c r="F22" s="503">
        <f>IF(E22="Đủ điều kiện","","Điền lý do!")</f>
        <v/>
      </c>
    </row>
    <row r="23" ht="18" customFormat="1" customHeight="1" s="494">
      <c r="A23" s="500" t="inlineStr">
        <is>
          <t>17</t>
        </is>
      </c>
      <c r="B23" s="501">
        <f>'Thông tin hoc sinh'!B19</f>
        <v/>
      </c>
      <c r="C23" s="500">
        <f>'Thông tin hoc sinh'!C19</f>
        <v/>
      </c>
      <c r="D23" s="502">
        <f>'Thông tin hoc sinh'!M19</f>
        <v/>
      </c>
      <c r="E23" s="500" t="inlineStr">
        <is>
          <t>Đủ điều kiện</t>
        </is>
      </c>
      <c r="F23" s="503">
        <f>IF(E23="Đủ điều kiện","","Điền lý do!")</f>
        <v/>
      </c>
    </row>
    <row r="24" ht="18" customFormat="1" customHeight="1" s="494">
      <c r="A24" s="500" t="inlineStr">
        <is>
          <t>18</t>
        </is>
      </c>
      <c r="B24" s="501">
        <f>'Thông tin hoc sinh'!B20</f>
        <v/>
      </c>
      <c r="C24" s="500">
        <f>'Thông tin hoc sinh'!C20</f>
        <v/>
      </c>
      <c r="D24" s="502">
        <f>'Thông tin hoc sinh'!M20</f>
        <v/>
      </c>
      <c r="E24" s="500" t="inlineStr">
        <is>
          <t>Đủ điều kiện</t>
        </is>
      </c>
      <c r="F24" s="503">
        <f>IF(E24="Đủ điều kiện","","Điền lý do!")</f>
        <v/>
      </c>
    </row>
    <row r="25" ht="18" customFormat="1" customHeight="1" s="494">
      <c r="A25" s="500" t="inlineStr">
        <is>
          <t>19</t>
        </is>
      </c>
      <c r="B25" s="501">
        <f>'Thông tin hoc sinh'!B21</f>
        <v/>
      </c>
      <c r="C25" s="500">
        <f>'Thông tin hoc sinh'!C21</f>
        <v/>
      </c>
      <c r="D25" s="502">
        <f>'Thông tin hoc sinh'!M21</f>
        <v/>
      </c>
      <c r="E25" s="500" t="inlineStr">
        <is>
          <t>Đủ điều kiện</t>
        </is>
      </c>
      <c r="F25" s="503">
        <f>IF(E25="Đủ điều kiện","","Điền lý do!")</f>
        <v/>
      </c>
    </row>
    <row r="26" ht="18" customFormat="1" customHeight="1" s="494">
      <c r="A26" s="500" t="inlineStr">
        <is>
          <t>20</t>
        </is>
      </c>
      <c r="B26" s="501">
        <f>'Thông tin hoc sinh'!B22</f>
        <v/>
      </c>
      <c r="C26" s="500">
        <f>'Thông tin hoc sinh'!C22</f>
        <v/>
      </c>
      <c r="D26" s="502">
        <f>'Thông tin hoc sinh'!M22</f>
        <v/>
      </c>
      <c r="E26" s="500" t="inlineStr">
        <is>
          <t>Đủ điều kiện</t>
        </is>
      </c>
      <c r="F26" s="503">
        <f>IF(E26="Đủ điều kiện","","Điền lý do!")</f>
        <v/>
      </c>
    </row>
    <row r="27" ht="18" customFormat="1" customHeight="1" s="494">
      <c r="A27" s="500" t="inlineStr">
        <is>
          <t>21</t>
        </is>
      </c>
      <c r="B27" s="501">
        <f>'Thông tin hoc sinh'!B23</f>
        <v/>
      </c>
      <c r="C27" s="500">
        <f>'Thông tin hoc sinh'!C23</f>
        <v/>
      </c>
      <c r="D27" s="502">
        <f>'Thông tin hoc sinh'!M23</f>
        <v/>
      </c>
      <c r="E27" s="500" t="inlineStr">
        <is>
          <t>Đủ điều kiện</t>
        </is>
      </c>
      <c r="F27" s="503">
        <f>IF(E27="Đủ điều kiện","","Điền lý do!")</f>
        <v/>
      </c>
    </row>
    <row r="28" ht="18" customFormat="1" customHeight="1" s="494">
      <c r="A28" s="500" t="inlineStr">
        <is>
          <t>22</t>
        </is>
      </c>
      <c r="B28" s="501">
        <f>'Thông tin hoc sinh'!B24</f>
        <v/>
      </c>
      <c r="C28" s="500">
        <f>'Thông tin hoc sinh'!C24</f>
        <v/>
      </c>
      <c r="D28" s="502">
        <f>'Thông tin hoc sinh'!M24</f>
        <v/>
      </c>
      <c r="E28" s="500" t="inlineStr">
        <is>
          <t>Không đủ điều kiện</t>
        </is>
      </c>
      <c r="F28" s="503">
        <f>IF(E28="Đủ điều kiện","","Điền lý do!")</f>
        <v/>
      </c>
    </row>
    <row r="29" ht="18" customFormat="1" customHeight="1" s="494">
      <c r="A29" s="500" t="inlineStr">
        <is>
          <t>23</t>
        </is>
      </c>
      <c r="B29" s="501">
        <f>'Thông tin hoc sinh'!B25</f>
        <v/>
      </c>
      <c r="C29" s="500">
        <f>'Thông tin hoc sinh'!C25</f>
        <v/>
      </c>
      <c r="D29" s="502">
        <f>'Thông tin hoc sinh'!M25</f>
        <v/>
      </c>
      <c r="E29" s="500" t="inlineStr">
        <is>
          <t>Đủ điều kiện</t>
        </is>
      </c>
      <c r="F29" s="503">
        <f>IF(E29="Đủ điều kiện","","Điền lý do!")</f>
        <v/>
      </c>
    </row>
    <row r="30" ht="18" customFormat="1" customHeight="1" s="494">
      <c r="A30" s="500" t="inlineStr">
        <is>
          <t>24</t>
        </is>
      </c>
      <c r="B30" s="501">
        <f>'Thông tin hoc sinh'!B26</f>
        <v/>
      </c>
      <c r="C30" s="500">
        <f>'Thông tin hoc sinh'!C26</f>
        <v/>
      </c>
      <c r="D30" s="502">
        <f>'Thông tin hoc sinh'!M26</f>
        <v/>
      </c>
      <c r="E30" s="500" t="inlineStr">
        <is>
          <t>Đủ điều kiện</t>
        </is>
      </c>
      <c r="F30" s="503">
        <f>IF(E30="Đủ điều kiện","","Điền lý do!")</f>
        <v/>
      </c>
    </row>
    <row r="31" ht="18" customFormat="1" customHeight="1" s="494">
      <c r="A31" s="500" t="inlineStr">
        <is>
          <t>25</t>
        </is>
      </c>
      <c r="B31" s="501">
        <f>'Thông tin hoc sinh'!B27</f>
        <v/>
      </c>
      <c r="C31" s="500">
        <f>'Thông tin hoc sinh'!C27</f>
        <v/>
      </c>
      <c r="D31" s="502">
        <f>'Thông tin hoc sinh'!M27</f>
        <v/>
      </c>
      <c r="E31" s="500" t="inlineStr">
        <is>
          <t>Đủ điều kiện</t>
        </is>
      </c>
      <c r="F31" s="503">
        <f>IF(E31="Đủ điều kiện","","Điền lý do!")</f>
        <v/>
      </c>
    </row>
    <row r="32" ht="18" customFormat="1" customHeight="1" s="494">
      <c r="A32" s="500" t="inlineStr">
        <is>
          <t>26</t>
        </is>
      </c>
      <c r="B32" s="501">
        <f>'Thông tin hoc sinh'!B28</f>
        <v/>
      </c>
      <c r="C32" s="500">
        <f>'Thông tin hoc sinh'!C28</f>
        <v/>
      </c>
      <c r="D32" s="502">
        <f>'Thông tin hoc sinh'!M28</f>
        <v/>
      </c>
      <c r="E32" s="500" t="inlineStr">
        <is>
          <t>Đủ điều kiện</t>
        </is>
      </c>
      <c r="F32" s="503">
        <f>IF(E32="Đủ điều kiện","","Điền lý do!")</f>
        <v/>
      </c>
    </row>
    <row r="33" ht="18" customFormat="1" customHeight="1" s="494">
      <c r="A33" s="500" t="inlineStr">
        <is>
          <t>27</t>
        </is>
      </c>
      <c r="B33" s="501">
        <f>'Thông tin hoc sinh'!B29</f>
        <v/>
      </c>
      <c r="C33" s="500">
        <f>'Thông tin hoc sinh'!C29</f>
        <v/>
      </c>
      <c r="D33" s="502">
        <f>'Thông tin hoc sinh'!M29</f>
        <v/>
      </c>
      <c r="E33" s="500" t="inlineStr">
        <is>
          <t>Đủ điều kiện</t>
        </is>
      </c>
      <c r="F33" s="503">
        <f>IF(E33="Đủ điều kiện","","Điền lý do!")</f>
        <v/>
      </c>
    </row>
    <row r="34" ht="18" customFormat="1" customHeight="1" s="494">
      <c r="A34" s="500" t="inlineStr">
        <is>
          <t>28</t>
        </is>
      </c>
      <c r="B34" s="501">
        <f>'Thông tin hoc sinh'!B30</f>
        <v/>
      </c>
      <c r="C34" s="500">
        <f>'Thông tin hoc sinh'!C30</f>
        <v/>
      </c>
      <c r="D34" s="502">
        <f>'Thông tin hoc sinh'!M30</f>
        <v/>
      </c>
      <c r="E34" s="500" t="inlineStr">
        <is>
          <t>Đủ điều kiện</t>
        </is>
      </c>
      <c r="F34" s="503">
        <f>IF(E34="Đủ điều kiện","","Điền lý do!")</f>
        <v/>
      </c>
    </row>
    <row r="35" ht="18" customFormat="1" customHeight="1" s="494">
      <c r="A35" s="500" t="inlineStr">
        <is>
          <t>29</t>
        </is>
      </c>
      <c r="B35" s="501">
        <f>'Thông tin hoc sinh'!B31</f>
        <v/>
      </c>
      <c r="C35" s="500">
        <f>'Thông tin hoc sinh'!C31</f>
        <v/>
      </c>
      <c r="D35" s="502">
        <f>'Thông tin hoc sinh'!M31</f>
        <v/>
      </c>
      <c r="E35" s="500" t="inlineStr">
        <is>
          <t>Đủ điều kiện</t>
        </is>
      </c>
      <c r="F35" s="503">
        <f>IF(E35="Đủ điều kiện","","Điền lý do!")</f>
        <v/>
      </c>
    </row>
    <row r="36" ht="18" customFormat="1" customHeight="1" s="494">
      <c r="A36" s="500" t="inlineStr">
        <is>
          <t>30</t>
        </is>
      </c>
      <c r="B36" s="501">
        <f>'Thông tin hoc sinh'!B32</f>
        <v/>
      </c>
      <c r="C36" s="500">
        <f>'Thông tin hoc sinh'!C32</f>
        <v/>
      </c>
      <c r="D36" s="502">
        <f>'Thông tin hoc sinh'!M32</f>
        <v/>
      </c>
      <c r="E36" s="500" t="inlineStr">
        <is>
          <t>Đủ điều kiện</t>
        </is>
      </c>
      <c r="F36" s="503">
        <f>IF(E36="Đủ điều kiện","","Điền lý do!")</f>
        <v/>
      </c>
    </row>
    <row r="37" ht="18" customFormat="1" customHeight="1" s="494">
      <c r="A37" s="500" t="inlineStr">
        <is>
          <t>31</t>
        </is>
      </c>
      <c r="B37" s="501">
        <f>'Thông tin hoc sinh'!B33</f>
        <v/>
      </c>
      <c r="C37" s="500">
        <f>'Thông tin hoc sinh'!C33</f>
        <v/>
      </c>
      <c r="D37" s="502">
        <f>'Thông tin hoc sinh'!M33</f>
        <v/>
      </c>
      <c r="E37" s="500" t="inlineStr">
        <is>
          <t>Đủ điều kiện</t>
        </is>
      </c>
      <c r="F37" s="503">
        <f>IF(E37="Đủ điều kiện","","Điền lý do!")</f>
        <v/>
      </c>
    </row>
    <row r="38" ht="18" customFormat="1" customHeight="1" s="494">
      <c r="A38" s="500" t="inlineStr">
        <is>
          <t>32</t>
        </is>
      </c>
      <c r="B38" s="501">
        <f>'Thông tin hoc sinh'!B34</f>
        <v/>
      </c>
      <c r="C38" s="500">
        <f>'Thông tin hoc sinh'!C34</f>
        <v/>
      </c>
      <c r="D38" s="502">
        <f>'Thông tin hoc sinh'!M34</f>
        <v/>
      </c>
      <c r="E38" s="500" t="inlineStr">
        <is>
          <t>Đủ điều kiện</t>
        </is>
      </c>
      <c r="F38" s="503">
        <f>IF(E38="Đủ điều kiện","","Điền lý do!")</f>
        <v/>
      </c>
    </row>
    <row r="39" ht="18" customFormat="1" customHeight="1" s="494">
      <c r="A39" s="500" t="inlineStr">
        <is>
          <t>33</t>
        </is>
      </c>
      <c r="B39" s="501">
        <f>'Thông tin hoc sinh'!B35</f>
        <v/>
      </c>
      <c r="C39" s="500">
        <f>'Thông tin hoc sinh'!C35</f>
        <v/>
      </c>
      <c r="D39" s="502">
        <f>'Thông tin hoc sinh'!M35</f>
        <v/>
      </c>
      <c r="E39" s="500" t="inlineStr">
        <is>
          <t>Đủ điều kiện</t>
        </is>
      </c>
      <c r="F39" s="503">
        <f>IF(E39="Đủ điều kiện","","Điền lý do!")</f>
        <v/>
      </c>
    </row>
    <row r="40" ht="18" customFormat="1" customHeight="1" s="494">
      <c r="A40" s="500" t="inlineStr">
        <is>
          <t>34</t>
        </is>
      </c>
      <c r="B40" s="501">
        <f>'Thông tin hoc sinh'!B36</f>
        <v/>
      </c>
      <c r="C40" s="500">
        <f>'Thông tin hoc sinh'!C36</f>
        <v/>
      </c>
      <c r="D40" s="502">
        <f>'Thông tin hoc sinh'!M36</f>
        <v/>
      </c>
      <c r="E40" s="500" t="inlineStr">
        <is>
          <t>Đủ điều kiện</t>
        </is>
      </c>
      <c r="F40" s="503">
        <f>IF(E40="Đủ điều kiện","","Điền lý do!")</f>
        <v/>
      </c>
    </row>
    <row r="41" ht="18" customFormat="1" customHeight="1" s="494">
      <c r="A41" s="504" t="inlineStr">
        <is>
          <t>35</t>
        </is>
      </c>
      <c r="B41" s="505">
        <f>'Thông tin hoc sinh'!B37</f>
        <v/>
      </c>
      <c r="C41" s="504">
        <f>'Thông tin hoc sinh'!C37</f>
        <v/>
      </c>
      <c r="D41" s="506">
        <f>'Thông tin hoc sinh'!M37</f>
        <v/>
      </c>
      <c r="E41" s="504" t="inlineStr">
        <is>
          <t>Đủ điều kiện</t>
        </is>
      </c>
      <c r="F41" s="507">
        <f>IF(E41="Đủ điều kiện","","Điền lý do!")</f>
        <v/>
      </c>
    </row>
    <row r="42" ht="18.75" customFormat="1" customHeight="1" s="494">
      <c r="A42" s="508" t="n"/>
      <c r="B42" s="509" t="n"/>
      <c r="C42" s="510" t="n"/>
      <c r="D42" s="510" t="n"/>
      <c r="E42" s="508" t="n"/>
      <c r="F42" s="509" t="n"/>
    </row>
    <row r="43" ht="9.75" customHeight="1" s="335">
      <c r="A43" s="375" t="n"/>
      <c r="B43" s="375" t="n"/>
      <c r="C43" s="375" t="n"/>
      <c r="D43" s="375" t="n"/>
      <c r="E43" s="375" t="n"/>
      <c r="F43" s="375" t="n"/>
    </row>
    <row r="44" ht="18.75" customHeight="1" s="335">
      <c r="A44" s="375" t="n"/>
      <c r="B44" s="375" t="n"/>
      <c r="C44" s="375" t="n"/>
      <c r="D44" s="375" t="n"/>
      <c r="E44" s="459">
        <f>"Đăk Tô, ngày ..… tháng ….. năm "&amp;MENU!E5</f>
        <v/>
      </c>
      <c r="F44" s="375" t="n"/>
    </row>
    <row r="45" ht="18.75" customHeight="1" s="335">
      <c r="A45" s="375" t="n"/>
      <c r="B45" s="375" t="n"/>
      <c r="C45" s="375" t="n"/>
      <c r="D45" s="375" t="n"/>
      <c r="E45" s="417" t="inlineStr">
        <is>
          <t>Người lập</t>
        </is>
      </c>
      <c r="F45" s="375" t="n"/>
    </row>
    <row r="46" ht="15.75" customHeight="1" s="335">
      <c r="A46" s="375" t="n"/>
      <c r="B46" s="375" t="n"/>
      <c r="C46" s="375" t="n"/>
      <c r="D46" s="375" t="n"/>
      <c r="E46" s="375" t="n"/>
      <c r="F46" s="375" t="n"/>
    </row>
    <row r="47" ht="15.75" customHeight="1" s="335">
      <c r="A47" s="375" t="n"/>
      <c r="B47" s="375" t="n"/>
      <c r="C47" s="375" t="n"/>
      <c r="D47" s="375" t="n"/>
      <c r="E47" s="375" t="n"/>
      <c r="F47" s="375" t="n"/>
    </row>
    <row r="48" ht="15.75" customHeight="1" s="335">
      <c r="A48" s="375" t="n"/>
      <c r="B48" s="375" t="n"/>
      <c r="C48" s="375" t="n"/>
      <c r="D48" s="375" t="n"/>
      <c r="E48" s="375" t="n"/>
      <c r="F48" s="375" t="n"/>
    </row>
    <row r="49" ht="15.75" customHeight="1" s="335">
      <c r="A49" s="375" t="n"/>
      <c r="B49" s="375" t="n"/>
      <c r="C49" s="375" t="n"/>
      <c r="D49" s="375" t="n"/>
      <c r="E49" s="375" t="n"/>
      <c r="F49" s="375" t="n"/>
    </row>
    <row r="50" ht="15.75" customHeight="1" s="335">
      <c r="A50" s="375" t="n"/>
      <c r="B50" s="375" t="n"/>
      <c r="C50" s="375" t="n"/>
      <c r="D50" s="375" t="n"/>
      <c r="E50" s="375" t="n"/>
      <c r="F50" s="375" t="n"/>
    </row>
    <row r="51" ht="15.75" customHeight="1" s="335">
      <c r="A51" s="375" t="n"/>
      <c r="B51" s="375" t="n"/>
      <c r="C51" s="375" t="n"/>
      <c r="D51" s="375" t="n"/>
      <c r="E51" s="375" t="n"/>
      <c r="F51" s="375" t="n"/>
    </row>
    <row r="52" ht="15.75" customHeight="1" s="335">
      <c r="A52" s="375" t="n"/>
      <c r="B52" s="375" t="n"/>
      <c r="C52" s="375" t="n"/>
      <c r="D52" s="375" t="n"/>
      <c r="E52" s="375" t="n"/>
      <c r="F52" s="375" t="n"/>
    </row>
    <row r="53" ht="15.75" customHeight="1" s="335">
      <c r="A53" s="375" t="n"/>
      <c r="B53" s="375" t="n"/>
      <c r="C53" s="375" t="n"/>
      <c r="D53" s="375" t="n"/>
      <c r="E53" s="375" t="n"/>
      <c r="F53" s="375" t="n"/>
    </row>
    <row r="54" ht="15.75" customHeight="1" s="335">
      <c r="A54" s="375" t="n"/>
      <c r="B54" s="375" t="n"/>
      <c r="C54" s="375" t="n"/>
      <c r="D54" s="375" t="n"/>
      <c r="E54" s="375" t="n"/>
      <c r="F54" s="375" t="n"/>
    </row>
    <row r="55" ht="15.75" customHeight="1" s="335">
      <c r="A55" s="375" t="n"/>
      <c r="B55" s="375" t="n"/>
      <c r="C55" s="375" t="n"/>
      <c r="D55" s="375" t="n"/>
      <c r="E55" s="375" t="n"/>
      <c r="F55" s="375" t="n"/>
    </row>
    <row r="56" ht="15.75" customHeight="1" s="335">
      <c r="A56" s="375" t="n"/>
      <c r="B56" s="375" t="n"/>
      <c r="C56" s="375" t="n"/>
      <c r="D56" s="375" t="n"/>
      <c r="E56" s="375" t="n"/>
      <c r="F56" s="375" t="n"/>
    </row>
    <row r="57" ht="15.75" customHeight="1" s="335">
      <c r="A57" s="375" t="n"/>
      <c r="B57" s="375" t="n"/>
      <c r="C57" s="375" t="n"/>
      <c r="D57" s="375" t="n"/>
      <c r="E57" s="375" t="n"/>
      <c r="F57" s="375" t="n"/>
    </row>
    <row r="58" ht="15.75" customHeight="1" s="335">
      <c r="A58" s="375" t="n"/>
      <c r="B58" s="375" t="n"/>
      <c r="C58" s="375" t="n"/>
      <c r="D58" s="375" t="n"/>
      <c r="E58" s="375" t="n"/>
      <c r="F58" s="375" t="n"/>
    </row>
    <row r="59" ht="15.75" customHeight="1" s="335">
      <c r="A59" s="375" t="n"/>
      <c r="B59" s="375" t="n"/>
      <c r="C59" s="375" t="n"/>
      <c r="D59" s="375" t="n"/>
      <c r="E59" s="375" t="n"/>
      <c r="F59" s="375" t="n"/>
    </row>
    <row r="60" ht="15.75" customHeight="1" s="335">
      <c r="A60" s="375" t="n"/>
      <c r="B60" s="375" t="n"/>
      <c r="C60" s="375" t="n"/>
      <c r="D60" s="375" t="n"/>
      <c r="E60" s="375" t="n"/>
      <c r="F60" s="375" t="n"/>
    </row>
    <row r="61" ht="15.75" customHeight="1" s="335">
      <c r="A61" s="375" t="n"/>
      <c r="B61" s="375" t="n"/>
      <c r="C61" s="375" t="n"/>
      <c r="D61" s="375" t="n"/>
      <c r="E61" s="375" t="n"/>
      <c r="F61" s="375" t="n"/>
    </row>
    <row r="62" ht="15.75" customHeight="1" s="335">
      <c r="A62" s="375" t="n"/>
      <c r="B62" s="375" t="n"/>
      <c r="C62" s="375" t="n"/>
      <c r="D62" s="375" t="n"/>
      <c r="E62" s="375" t="n"/>
      <c r="F62" s="375" t="n"/>
    </row>
    <row r="63" ht="15.75" customHeight="1" s="335">
      <c r="A63" s="375" t="n"/>
      <c r="B63" s="375" t="n"/>
      <c r="C63" s="375" t="n"/>
      <c r="D63" s="375" t="n"/>
      <c r="E63" s="375" t="n"/>
      <c r="F63" s="375" t="n"/>
    </row>
    <row r="64" ht="15.75" customHeight="1" s="335">
      <c r="A64" s="375" t="n"/>
      <c r="B64" s="375" t="n"/>
      <c r="C64" s="375" t="n"/>
      <c r="D64" s="375" t="n"/>
      <c r="E64" s="375" t="n"/>
      <c r="F64" s="375" t="n"/>
    </row>
    <row r="65" ht="15.75" customHeight="1" s="335">
      <c r="A65" s="375" t="n"/>
      <c r="B65" s="375" t="n"/>
      <c r="C65" s="375" t="n"/>
      <c r="D65" s="375" t="n"/>
      <c r="E65" s="375" t="n"/>
      <c r="F65" s="375" t="n"/>
    </row>
    <row r="66" ht="15.75" customHeight="1" s="335">
      <c r="A66" s="375" t="n"/>
      <c r="B66" s="375" t="n"/>
      <c r="C66" s="375" t="n"/>
      <c r="D66" s="375" t="n"/>
      <c r="E66" s="375" t="n"/>
      <c r="F66" s="375" t="n"/>
    </row>
    <row r="67" ht="15.75" customHeight="1" s="335">
      <c r="A67" s="375" t="n"/>
      <c r="B67" s="375" t="n"/>
      <c r="C67" s="375" t="n"/>
      <c r="D67" s="375" t="n"/>
      <c r="E67" s="375" t="n"/>
      <c r="F67" s="375" t="n"/>
    </row>
    <row r="68" ht="15.75" customHeight="1" s="335">
      <c r="A68" s="375" t="n"/>
      <c r="B68" s="375" t="n"/>
      <c r="C68" s="375" t="n"/>
      <c r="D68" s="375" t="n"/>
      <c r="E68" s="375" t="n"/>
      <c r="F68" s="375" t="n"/>
    </row>
    <row r="69" ht="15.75" customHeight="1" s="335">
      <c r="A69" s="375" t="n"/>
      <c r="B69" s="375" t="n"/>
      <c r="C69" s="375" t="n"/>
      <c r="D69" s="375" t="n"/>
      <c r="E69" s="375" t="n"/>
      <c r="F69" s="375" t="n"/>
    </row>
    <row r="70" ht="15.75" customHeight="1" s="335">
      <c r="A70" s="375" t="n"/>
      <c r="B70" s="375" t="n"/>
      <c r="C70" s="375" t="n"/>
      <c r="D70" s="375" t="n"/>
      <c r="E70" s="375" t="n"/>
      <c r="F70" s="375" t="n"/>
    </row>
    <row r="71" ht="15.75" customHeight="1" s="335">
      <c r="A71" s="375" t="n"/>
      <c r="B71" s="375" t="n"/>
      <c r="C71" s="375" t="n"/>
      <c r="D71" s="375" t="n"/>
      <c r="E71" s="375" t="n"/>
      <c r="F71" s="375" t="n"/>
    </row>
    <row r="72" ht="15.75" customHeight="1" s="335">
      <c r="A72" s="375" t="n"/>
      <c r="B72" s="375" t="n"/>
      <c r="C72" s="375" t="n"/>
      <c r="D72" s="375" t="n"/>
      <c r="E72" s="375" t="n"/>
      <c r="F72" s="375" t="n"/>
    </row>
    <row r="73" ht="15.75" customHeight="1" s="335">
      <c r="A73" s="375" t="n"/>
      <c r="B73" s="375" t="n"/>
      <c r="C73" s="375" t="n"/>
      <c r="D73" s="375" t="n"/>
      <c r="E73" s="375" t="n"/>
      <c r="F73" s="375" t="n"/>
    </row>
    <row r="74" ht="15.75" customHeight="1" s="335">
      <c r="A74" s="375" t="n"/>
      <c r="B74" s="375" t="n"/>
      <c r="C74" s="375" t="n"/>
      <c r="D74" s="375" t="n"/>
      <c r="E74" s="375" t="n"/>
      <c r="F74" s="375" t="n"/>
    </row>
    <row r="75" ht="15.75" customHeight="1" s="335">
      <c r="A75" s="375" t="n"/>
      <c r="B75" s="375" t="n"/>
      <c r="C75" s="375" t="n"/>
      <c r="D75" s="375" t="n"/>
      <c r="E75" s="375" t="n"/>
      <c r="F75" s="375" t="n"/>
    </row>
    <row r="76" ht="15.75" customHeight="1" s="335">
      <c r="A76" s="375" t="n"/>
      <c r="B76" s="375" t="n"/>
      <c r="C76" s="375" t="n"/>
      <c r="D76" s="375" t="n"/>
      <c r="E76" s="375" t="n"/>
      <c r="F76" s="375" t="n"/>
    </row>
    <row r="77" ht="15.75" customHeight="1" s="335">
      <c r="A77" s="375" t="n"/>
      <c r="B77" s="375" t="n"/>
      <c r="C77" s="375" t="n"/>
      <c r="D77" s="375" t="n"/>
      <c r="E77" s="375" t="n"/>
      <c r="F77" s="375" t="n"/>
    </row>
    <row r="78" ht="15.75" customHeight="1" s="335">
      <c r="A78" s="375" t="n"/>
      <c r="B78" s="375" t="n"/>
      <c r="C78" s="375" t="n"/>
      <c r="D78" s="375" t="n"/>
      <c r="E78" s="375" t="n"/>
      <c r="F78" s="375" t="n"/>
    </row>
    <row r="79" ht="15.75" customHeight="1" s="335">
      <c r="A79" s="375" t="n"/>
      <c r="B79" s="375" t="n"/>
      <c r="C79" s="375" t="n"/>
      <c r="D79" s="375" t="n"/>
      <c r="E79" s="375" t="n"/>
      <c r="F79" s="375" t="n"/>
    </row>
    <row r="80" ht="15.75" customHeight="1" s="335">
      <c r="A80" s="375" t="n"/>
      <c r="B80" s="375" t="n"/>
      <c r="C80" s="375" t="n"/>
      <c r="D80" s="375" t="n"/>
      <c r="E80" s="375" t="n"/>
      <c r="F80" s="375" t="n"/>
    </row>
    <row r="81" ht="15.75" customHeight="1" s="335">
      <c r="A81" s="375" t="n"/>
      <c r="B81" s="375" t="n"/>
      <c r="C81" s="375" t="n"/>
      <c r="D81" s="375" t="n"/>
      <c r="E81" s="375" t="n"/>
      <c r="F81" s="375" t="n"/>
    </row>
    <row r="82" ht="15.75" customHeight="1" s="335">
      <c r="A82" s="375" t="n"/>
      <c r="B82" s="375" t="n"/>
      <c r="C82" s="375" t="n"/>
      <c r="D82" s="375" t="n"/>
      <c r="E82" s="375" t="n"/>
      <c r="F82" s="375" t="n"/>
    </row>
    <row r="83" ht="15.75" customHeight="1" s="335">
      <c r="A83" s="375" t="n"/>
      <c r="B83" s="375" t="n"/>
      <c r="C83" s="375" t="n"/>
      <c r="D83" s="375" t="n"/>
      <c r="E83" s="375" t="n"/>
      <c r="F83" s="375" t="n"/>
    </row>
    <row r="84" ht="15.75" customHeight="1" s="335">
      <c r="A84" s="375" t="n"/>
      <c r="B84" s="375" t="n"/>
      <c r="C84" s="375" t="n"/>
      <c r="D84" s="375" t="n"/>
      <c r="E84" s="375" t="n"/>
      <c r="F84" s="375" t="n"/>
    </row>
  </sheetData>
  <mergeCells count="2">
    <mergeCell ref="A3:F3"/>
    <mergeCell ref="A4:F4"/>
  </mergeCells>
  <dataValidations count="1">
    <dataValidation sqref="E7:E41" showDropDown="0" showInputMessage="0" showErrorMessage="1" allowBlank="1" type="list" errorStyle="stop" operator="between">
      <formula1>"Đủ điều kiện,Không đủ điều kiện"</formula1>
      <formula2>0</formula2>
    </dataValidation>
  </dataValidations>
  <printOptions horizontalCentered="0" verticalCentered="0" headings="0" gridLines="0" gridLinesSet="1"/>
  <pageMargins left="0.420138888888889" right="0.390277777777778" top="0.490277777777778" bottom="0.409722222222222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03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H8" activeCellId="0" sqref="H8"/>
    </sheetView>
  </sheetViews>
  <sheetFormatPr baseColWidth="8" defaultColWidth="8.8984375" defaultRowHeight="15" zeroHeight="0" outlineLevelRow="0"/>
  <cols>
    <col width="4.87" customWidth="1" style="490" min="1" max="1"/>
    <col width="10.62" customWidth="1" style="490" min="2" max="2"/>
    <col width="6.12" customWidth="1" style="490" min="3" max="3"/>
    <col width="13.62" customWidth="1" style="490" min="4" max="5"/>
    <col width="21.37" customWidth="1" style="490" min="6" max="6"/>
    <col width="17.74" customWidth="1" style="490" min="7" max="7"/>
  </cols>
  <sheetData>
    <row r="1" ht="16.5" customHeight="1" s="335">
      <c r="A1" s="410" t="inlineStr">
        <is>
          <t>UBND HUYỆN ĐĂKTÔ</t>
        </is>
      </c>
      <c r="E1" s="412" t="inlineStr">
        <is>
          <t>CỘNG HÒA XÃ HỘI CHỦ NGHĨA VIỆT NAM</t>
        </is>
      </c>
    </row>
    <row r="2" ht="18.75" customHeight="1" s="335">
      <c r="A2" s="412" t="inlineStr">
        <is>
          <t>TRUNG TÂM GDNN - GDTX</t>
        </is>
      </c>
      <c r="E2" s="417" t="inlineStr">
        <is>
          <t>Độc lập - Tự do - Hạnh phúc</t>
        </is>
      </c>
    </row>
    <row r="3" ht="13.5" customHeight="1" s="335">
      <c r="A3" s="511" t="n"/>
      <c r="B3" s="511" t="n"/>
      <c r="C3" s="511" t="n"/>
      <c r="D3" s="375" t="n"/>
      <c r="E3" s="375" t="n"/>
      <c r="F3" s="375" t="n"/>
      <c r="G3" s="375" t="n"/>
    </row>
    <row r="4" ht="16.5" customFormat="1" customHeight="1" s="512">
      <c r="A4" s="412" t="inlineStr">
        <is>
          <t>BẢNG TỔNG HỢP ĐIỂM KIỂM TRA KẾT THÚC KHÓA HỌC</t>
        </is>
      </c>
    </row>
    <row r="5" ht="16.5" customFormat="1" customHeight="1" s="512">
      <c r="A5" s="513">
        <f>"Lớp đào tạo nghề: "&amp;MENU!E3&amp;"; Khóa: "&amp;MENU!E4&amp;"; Năm "&amp;MENU!E5</f>
        <v/>
      </c>
    </row>
    <row r="6" ht="7.5" customFormat="1" customHeight="1" s="494">
      <c r="A6" s="375" t="n"/>
      <c r="B6" s="375" t="n"/>
      <c r="C6" s="375" t="n"/>
      <c r="D6" s="375" t="n"/>
      <c r="E6" s="375" t="n"/>
      <c r="F6" s="375" t="n"/>
      <c r="G6" s="375" t="n"/>
    </row>
    <row r="7" ht="47.25" customFormat="1" customHeight="1" s="494">
      <c r="A7" s="465" t="inlineStr">
        <is>
          <t>STT</t>
        </is>
      </c>
      <c r="B7" s="465" t="inlineStr">
        <is>
          <t>Họ và tên</t>
        </is>
      </c>
      <c r="C7" s="422" t="inlineStr">
        <is>
          <t>Năm sinh</t>
        </is>
      </c>
      <c r="D7" s="422" t="inlineStr">
        <is>
          <t>Điểm của cán bộ coi, chấm kiểm tra 1</t>
        </is>
      </c>
      <c r="E7" s="422" t="inlineStr">
        <is>
          <t>Điểm của cán bộ coi, chấm kiểm tra 2</t>
        </is>
      </c>
      <c r="F7" s="422" t="inlineStr">
        <is>
          <t>Điểm tổng hợp
(Trung bình cộng 2 điểm của 2 cán bộ coi, chấm kiểm tra)</t>
        </is>
      </c>
      <c r="G7" s="422" t="inlineStr">
        <is>
          <t>Điểm do Hội đồng xét duyệt và chấp nhận</t>
        </is>
      </c>
    </row>
    <row r="8" ht="18" customFormat="1" customHeight="1" s="494">
      <c r="A8" s="496" t="inlineStr">
        <is>
          <t>01</t>
        </is>
      </c>
      <c r="B8" s="514">
        <f>'Thông tin hoc sinh'!B3</f>
        <v/>
      </c>
      <c r="C8" s="515">
        <f>'Thông tin hoc sinh'!C3</f>
        <v/>
      </c>
      <c r="D8" s="516" t="n">
        <v>7</v>
      </c>
      <c r="E8" s="516" t="n">
        <v>7</v>
      </c>
      <c r="F8" s="517">
        <f>(D8+E8)/2</f>
        <v/>
      </c>
      <c r="G8" s="516">
        <f>F8</f>
        <v/>
      </c>
    </row>
    <row r="9" ht="18" customFormat="1" customHeight="1" s="494">
      <c r="A9" s="500" t="inlineStr">
        <is>
          <t>02</t>
        </is>
      </c>
      <c r="B9" s="514">
        <f>'Thông tin hoc sinh'!B4</f>
        <v/>
      </c>
      <c r="C9" s="515">
        <f>'Thông tin hoc sinh'!C4</f>
        <v/>
      </c>
      <c r="D9" s="518" t="n">
        <v>7</v>
      </c>
      <c r="E9" s="518" t="n">
        <v>7</v>
      </c>
      <c r="F9" s="519">
        <f>(D9+E9)/2</f>
        <v/>
      </c>
      <c r="G9" s="518">
        <f>F9</f>
        <v/>
      </c>
    </row>
    <row r="10" ht="18" customFormat="1" customHeight="1" s="494">
      <c r="A10" s="500" t="inlineStr">
        <is>
          <t>03</t>
        </is>
      </c>
      <c r="B10" s="514">
        <f>'Thông tin hoc sinh'!B5</f>
        <v/>
      </c>
      <c r="C10" s="515">
        <f>'Thông tin hoc sinh'!C5</f>
        <v/>
      </c>
      <c r="D10" s="518" t="n">
        <v>6</v>
      </c>
      <c r="E10" s="518" t="n">
        <v>7</v>
      </c>
      <c r="F10" s="519">
        <f>(D10+E10)/2</f>
        <v/>
      </c>
      <c r="G10" s="518">
        <f>F10</f>
        <v/>
      </c>
    </row>
    <row r="11" ht="18" customFormat="1" customHeight="1" s="494">
      <c r="A11" s="500" t="inlineStr">
        <is>
          <t>04</t>
        </is>
      </c>
      <c r="B11" s="514">
        <f>'Thông tin hoc sinh'!B6</f>
        <v/>
      </c>
      <c r="C11" s="515">
        <f>'Thông tin hoc sinh'!C6</f>
        <v/>
      </c>
      <c r="D11" s="518" t="n">
        <v>6</v>
      </c>
      <c r="E11" s="518" t="n">
        <v>7</v>
      </c>
      <c r="F11" s="519">
        <f>(D11+E11)/2</f>
        <v/>
      </c>
      <c r="G11" s="518">
        <f>F11</f>
        <v/>
      </c>
    </row>
    <row r="12" ht="18" customFormat="1" customHeight="1" s="494">
      <c r="A12" s="500" t="inlineStr">
        <is>
          <t>05</t>
        </is>
      </c>
      <c r="B12" s="514">
        <f>'Thông tin hoc sinh'!B7</f>
        <v/>
      </c>
      <c r="C12" s="515">
        <f>'Thông tin hoc sinh'!C7</f>
        <v/>
      </c>
      <c r="D12" s="518" t="n">
        <v>7</v>
      </c>
      <c r="E12" s="518" t="n">
        <v>6</v>
      </c>
      <c r="F12" s="519">
        <f>(D12+E12)/2</f>
        <v/>
      </c>
      <c r="G12" s="518">
        <f>F12</f>
        <v/>
      </c>
    </row>
    <row r="13" ht="18" customFormat="1" customHeight="1" s="494">
      <c r="A13" s="500" t="inlineStr">
        <is>
          <t>06</t>
        </is>
      </c>
      <c r="B13" s="514">
        <f>'Thông tin hoc sinh'!B8</f>
        <v/>
      </c>
      <c r="C13" s="515">
        <f>'Thông tin hoc sinh'!C8</f>
        <v/>
      </c>
      <c r="D13" s="518" t="n">
        <v>6</v>
      </c>
      <c r="E13" s="518" t="n">
        <v>7</v>
      </c>
      <c r="F13" s="519">
        <f>(D13+E13)/2</f>
        <v/>
      </c>
      <c r="G13" s="518">
        <f>F13</f>
        <v/>
      </c>
    </row>
    <row r="14" ht="18" customFormat="1" customHeight="1" s="494">
      <c r="A14" s="500" t="inlineStr">
        <is>
          <t>07</t>
        </is>
      </c>
      <c r="B14" s="514">
        <f>'Thông tin hoc sinh'!B9</f>
        <v/>
      </c>
      <c r="C14" s="515">
        <f>'Thông tin hoc sinh'!C9</f>
        <v/>
      </c>
      <c r="D14" s="518" t="n">
        <v>6</v>
      </c>
      <c r="E14" s="518" t="n">
        <v>7</v>
      </c>
      <c r="F14" s="519">
        <f>(D14+E14)/2</f>
        <v/>
      </c>
      <c r="G14" s="518">
        <f>F14</f>
        <v/>
      </c>
    </row>
    <row r="15" ht="18" customFormat="1" customHeight="1" s="494">
      <c r="A15" s="500" t="inlineStr">
        <is>
          <t>08</t>
        </is>
      </c>
      <c r="B15" s="514">
        <f>'Thông tin hoc sinh'!B10</f>
        <v/>
      </c>
      <c r="C15" s="515">
        <f>'Thông tin hoc sinh'!C10</f>
        <v/>
      </c>
      <c r="D15" s="518" t="n">
        <v>6</v>
      </c>
      <c r="E15" s="518" t="n">
        <v>7</v>
      </c>
      <c r="F15" s="519">
        <f>(D15+E15)/2</f>
        <v/>
      </c>
      <c r="G15" s="518">
        <f>F15</f>
        <v/>
      </c>
    </row>
    <row r="16" ht="18" customFormat="1" customHeight="1" s="494">
      <c r="A16" s="500" t="inlineStr">
        <is>
          <t>09</t>
        </is>
      </c>
      <c r="B16" s="514">
        <f>'Thông tin hoc sinh'!B11</f>
        <v/>
      </c>
      <c r="C16" s="515">
        <f>'Thông tin hoc sinh'!C11</f>
        <v/>
      </c>
      <c r="D16" s="518" t="n">
        <v>7</v>
      </c>
      <c r="E16" s="518" t="n">
        <v>6</v>
      </c>
      <c r="F16" s="519">
        <f>(D16+E16)/2</f>
        <v/>
      </c>
      <c r="G16" s="518">
        <f>F16</f>
        <v/>
      </c>
    </row>
    <row r="17" ht="18" customFormat="1" customHeight="1" s="494">
      <c r="A17" s="500" t="inlineStr">
        <is>
          <t>10</t>
        </is>
      </c>
      <c r="B17" s="514">
        <f>'Thông tin hoc sinh'!B12</f>
        <v/>
      </c>
      <c r="C17" s="515">
        <f>'Thông tin hoc sinh'!C12</f>
        <v/>
      </c>
      <c r="D17" s="518" t="n">
        <v>6</v>
      </c>
      <c r="E17" s="518" t="n">
        <v>7</v>
      </c>
      <c r="F17" s="519">
        <f>(D17+E17)/2</f>
        <v/>
      </c>
      <c r="G17" s="518">
        <f>F17</f>
        <v/>
      </c>
    </row>
    <row r="18" ht="18" customFormat="1" customHeight="1" s="494">
      <c r="A18" s="500" t="inlineStr">
        <is>
          <t>11</t>
        </is>
      </c>
      <c r="B18" s="514">
        <f>'Thông tin hoc sinh'!B13</f>
        <v/>
      </c>
      <c r="C18" s="515">
        <f>'Thông tin hoc sinh'!C13</f>
        <v/>
      </c>
      <c r="D18" s="518" t="n">
        <v>6</v>
      </c>
      <c r="E18" s="518" t="n">
        <v>7</v>
      </c>
      <c r="F18" s="519">
        <f>(D18+E18)/2</f>
        <v/>
      </c>
      <c r="G18" s="518">
        <f>F18</f>
        <v/>
      </c>
    </row>
    <row r="19" ht="18" customFormat="1" customHeight="1" s="494">
      <c r="A19" s="500" t="inlineStr">
        <is>
          <t>12</t>
        </is>
      </c>
      <c r="B19" s="514">
        <f>'Thông tin hoc sinh'!B14</f>
        <v/>
      </c>
      <c r="C19" s="515">
        <f>'Thông tin hoc sinh'!C14</f>
        <v/>
      </c>
      <c r="D19" s="518" t="n">
        <v>6</v>
      </c>
      <c r="E19" s="518" t="n">
        <v>7</v>
      </c>
      <c r="F19" s="519">
        <f>(D19+E19)/2</f>
        <v/>
      </c>
      <c r="G19" s="518">
        <f>F19</f>
        <v/>
      </c>
    </row>
    <row r="20" ht="18" customFormat="1" customHeight="1" s="494">
      <c r="A20" s="500" t="inlineStr">
        <is>
          <t>13</t>
        </is>
      </c>
      <c r="B20" s="514">
        <f>'Thông tin hoc sinh'!B15</f>
        <v/>
      </c>
      <c r="C20" s="515">
        <f>'Thông tin hoc sinh'!C15</f>
        <v/>
      </c>
      <c r="D20" s="518" t="n">
        <v>8</v>
      </c>
      <c r="E20" s="518" t="n">
        <v>9</v>
      </c>
      <c r="F20" s="519">
        <f>(D20+E20)/2</f>
        <v/>
      </c>
      <c r="G20" s="518">
        <f>F20</f>
        <v/>
      </c>
    </row>
    <row r="21" ht="18" customFormat="1" customHeight="1" s="494">
      <c r="A21" s="500" t="inlineStr">
        <is>
          <t>14</t>
        </is>
      </c>
      <c r="B21" s="514">
        <f>'Thông tin hoc sinh'!B16</f>
        <v/>
      </c>
      <c r="C21" s="515">
        <f>'Thông tin hoc sinh'!C16</f>
        <v/>
      </c>
      <c r="D21" s="518" t="n">
        <v>6</v>
      </c>
      <c r="E21" s="518" t="n">
        <v>7</v>
      </c>
      <c r="F21" s="519">
        <f>(D21+E21)/2</f>
        <v/>
      </c>
      <c r="G21" s="518">
        <f>F21</f>
        <v/>
      </c>
    </row>
    <row r="22" ht="18" customFormat="1" customHeight="1" s="494">
      <c r="A22" s="500" t="inlineStr">
        <is>
          <t>15</t>
        </is>
      </c>
      <c r="B22" s="514">
        <f>'Thông tin hoc sinh'!B17</f>
        <v/>
      </c>
      <c r="C22" s="515">
        <f>'Thông tin hoc sinh'!C17</f>
        <v/>
      </c>
      <c r="D22" s="518" t="n">
        <v>7</v>
      </c>
      <c r="E22" s="518" t="n">
        <v>7</v>
      </c>
      <c r="F22" s="519">
        <f>(D22+E22)/2</f>
        <v/>
      </c>
      <c r="G22" s="518">
        <f>F22</f>
        <v/>
      </c>
    </row>
    <row r="23" ht="18" customFormat="1" customHeight="1" s="494">
      <c r="A23" s="500" t="inlineStr">
        <is>
          <t>16</t>
        </is>
      </c>
      <c r="B23" s="514">
        <f>'Thông tin hoc sinh'!B18</f>
        <v/>
      </c>
      <c r="C23" s="515">
        <f>'Thông tin hoc sinh'!C18</f>
        <v/>
      </c>
      <c r="D23" s="518" t="n">
        <v>6</v>
      </c>
      <c r="E23" s="518" t="n">
        <v>5</v>
      </c>
      <c r="F23" s="519">
        <f>(D23+E23)/2</f>
        <v/>
      </c>
      <c r="G23" s="518">
        <f>F23</f>
        <v/>
      </c>
    </row>
    <row r="24" ht="18" customFormat="1" customHeight="1" s="494">
      <c r="A24" s="500" t="inlineStr">
        <is>
          <t>17</t>
        </is>
      </c>
      <c r="B24" s="514">
        <f>'Thông tin hoc sinh'!B19</f>
        <v/>
      </c>
      <c r="C24" s="515">
        <f>'Thông tin hoc sinh'!C19</f>
        <v/>
      </c>
      <c r="D24" s="518" t="n">
        <v>7</v>
      </c>
      <c r="E24" s="518" t="n">
        <v>6</v>
      </c>
      <c r="F24" s="519">
        <f>(D24+E24)/2</f>
        <v/>
      </c>
      <c r="G24" s="518">
        <f>F24</f>
        <v/>
      </c>
    </row>
    <row r="25" ht="18" customFormat="1" customHeight="1" s="494">
      <c r="A25" s="500" t="inlineStr">
        <is>
          <t>18</t>
        </is>
      </c>
      <c r="B25" s="514">
        <f>'Thông tin hoc sinh'!B20</f>
        <v/>
      </c>
      <c r="C25" s="515">
        <f>'Thông tin hoc sinh'!C20</f>
        <v/>
      </c>
      <c r="D25" s="518" t="n">
        <v>6</v>
      </c>
      <c r="E25" s="518" t="n">
        <v>7</v>
      </c>
      <c r="F25" s="519">
        <f>(D25+E25)/2</f>
        <v/>
      </c>
      <c r="G25" s="518">
        <f>F25</f>
        <v/>
      </c>
    </row>
    <row r="26" ht="18" customFormat="1" customHeight="1" s="494">
      <c r="A26" s="500" t="inlineStr">
        <is>
          <t>19</t>
        </is>
      </c>
      <c r="B26" s="514">
        <f>'Thông tin hoc sinh'!B21</f>
        <v/>
      </c>
      <c r="C26" s="515">
        <f>'Thông tin hoc sinh'!C21</f>
        <v/>
      </c>
      <c r="D26" s="518" t="n">
        <v>6</v>
      </c>
      <c r="E26" s="518" t="n">
        <v>6</v>
      </c>
      <c r="F26" s="519">
        <f>(D26+E26)/2</f>
        <v/>
      </c>
      <c r="G26" s="518">
        <f>F26</f>
        <v/>
      </c>
    </row>
    <row r="27" ht="18" customFormat="1" customHeight="1" s="494">
      <c r="A27" s="500" t="inlineStr">
        <is>
          <t>20</t>
        </is>
      </c>
      <c r="B27" s="514">
        <f>'Thông tin hoc sinh'!B22</f>
        <v/>
      </c>
      <c r="C27" s="515">
        <f>'Thông tin hoc sinh'!C22</f>
        <v/>
      </c>
      <c r="D27" s="518" t="n">
        <v>7</v>
      </c>
      <c r="E27" s="518" t="n">
        <v>7</v>
      </c>
      <c r="F27" s="519">
        <f>(D27+E27)/2</f>
        <v/>
      </c>
      <c r="G27" s="518">
        <f>F27</f>
        <v/>
      </c>
    </row>
    <row r="28" ht="18" customFormat="1" customHeight="1" s="494">
      <c r="A28" s="500" t="inlineStr">
        <is>
          <t>21</t>
        </is>
      </c>
      <c r="B28" s="514">
        <f>'Thông tin hoc sinh'!B23</f>
        <v/>
      </c>
      <c r="C28" s="515">
        <f>'Thông tin hoc sinh'!C23</f>
        <v/>
      </c>
      <c r="D28" s="518" t="n">
        <v>7</v>
      </c>
      <c r="E28" s="518" t="n">
        <v>6</v>
      </c>
      <c r="F28" s="519">
        <f>(D28+E28)/2</f>
        <v/>
      </c>
      <c r="G28" s="518">
        <f>F28</f>
        <v/>
      </c>
    </row>
    <row r="29" ht="18" customFormat="1" customHeight="1" s="494">
      <c r="A29" s="500" t="inlineStr">
        <is>
          <t>22</t>
        </is>
      </c>
      <c r="B29" s="514">
        <f>'Thông tin hoc sinh'!B24</f>
        <v/>
      </c>
      <c r="C29" s="515">
        <f>'Thông tin hoc sinh'!C24</f>
        <v/>
      </c>
      <c r="D29" s="518" t="n">
        <v>6</v>
      </c>
      <c r="E29" s="518" t="n">
        <v>7</v>
      </c>
      <c r="F29" s="519">
        <f>(D29+E29)/2</f>
        <v/>
      </c>
      <c r="G29" s="518">
        <f>F29</f>
        <v/>
      </c>
    </row>
    <row r="30" ht="18" customFormat="1" customHeight="1" s="494">
      <c r="A30" s="500" t="inlineStr">
        <is>
          <t>23</t>
        </is>
      </c>
      <c r="B30" s="514">
        <f>'Thông tin hoc sinh'!B25</f>
        <v/>
      </c>
      <c r="C30" s="515">
        <f>'Thông tin hoc sinh'!C25</f>
        <v/>
      </c>
      <c r="D30" s="518" t="n">
        <v>6</v>
      </c>
      <c r="E30" s="518" t="n">
        <v>7</v>
      </c>
      <c r="F30" s="519">
        <f>(D30+E30)/2</f>
        <v/>
      </c>
      <c r="G30" s="518">
        <f>F30</f>
        <v/>
      </c>
    </row>
    <row r="31" ht="18" customFormat="1" customHeight="1" s="494">
      <c r="A31" s="500" t="inlineStr">
        <is>
          <t>24</t>
        </is>
      </c>
      <c r="B31" s="514">
        <f>'Thông tin hoc sinh'!B26</f>
        <v/>
      </c>
      <c r="C31" s="515">
        <f>'Thông tin hoc sinh'!C26</f>
        <v/>
      </c>
      <c r="D31" s="518" t="n">
        <v>6</v>
      </c>
      <c r="E31" s="518" t="n">
        <v>7</v>
      </c>
      <c r="F31" s="519">
        <f>(D31+E31)/2</f>
        <v/>
      </c>
      <c r="G31" s="518">
        <f>F31</f>
        <v/>
      </c>
    </row>
    <row r="32" ht="18" customFormat="1" customHeight="1" s="494">
      <c r="A32" s="500" t="inlineStr">
        <is>
          <t>25</t>
        </is>
      </c>
      <c r="B32" s="514">
        <f>'Thông tin hoc sinh'!B27</f>
        <v/>
      </c>
      <c r="C32" s="515">
        <f>'Thông tin hoc sinh'!C27</f>
        <v/>
      </c>
      <c r="D32" s="518" t="n">
        <v>6</v>
      </c>
      <c r="E32" s="518" t="n">
        <v>7</v>
      </c>
      <c r="F32" s="519">
        <f>(D32+E32)/2</f>
        <v/>
      </c>
      <c r="G32" s="518">
        <f>F32</f>
        <v/>
      </c>
    </row>
    <row r="33" ht="18" customFormat="1" customHeight="1" s="494">
      <c r="A33" s="500" t="inlineStr">
        <is>
          <t>26</t>
        </is>
      </c>
      <c r="B33" s="514">
        <f>'Thông tin hoc sinh'!B28</f>
        <v/>
      </c>
      <c r="C33" s="515">
        <f>'Thông tin hoc sinh'!C28</f>
        <v/>
      </c>
      <c r="D33" s="518" t="n">
        <v>6</v>
      </c>
      <c r="E33" s="518" t="n">
        <v>7</v>
      </c>
      <c r="F33" s="519">
        <f>(D33+E33)/2</f>
        <v/>
      </c>
      <c r="G33" s="518">
        <f>F33</f>
        <v/>
      </c>
    </row>
    <row r="34" ht="18" customFormat="1" customHeight="1" s="494">
      <c r="A34" s="500" t="inlineStr">
        <is>
          <t>27</t>
        </is>
      </c>
      <c r="B34" s="514">
        <f>'Thông tin hoc sinh'!B29</f>
        <v/>
      </c>
      <c r="C34" s="515">
        <f>'Thông tin hoc sinh'!C29</f>
        <v/>
      </c>
      <c r="D34" s="518" t="n">
        <v>6</v>
      </c>
      <c r="E34" s="518" t="n">
        <v>7</v>
      </c>
      <c r="F34" s="519">
        <f>(D34+E34)/2</f>
        <v/>
      </c>
      <c r="G34" s="518">
        <f>F34</f>
        <v/>
      </c>
    </row>
    <row r="35" ht="18" customFormat="1" customHeight="1" s="494">
      <c r="A35" s="500" t="inlineStr">
        <is>
          <t>28</t>
        </is>
      </c>
      <c r="B35" s="514">
        <f>'Thông tin hoc sinh'!B30</f>
        <v/>
      </c>
      <c r="C35" s="515">
        <f>'Thông tin hoc sinh'!C30</f>
        <v/>
      </c>
      <c r="D35" s="518" t="n">
        <v>6</v>
      </c>
      <c r="E35" s="518" t="n">
        <v>7</v>
      </c>
      <c r="F35" s="519">
        <f>(D35+E35)/2</f>
        <v/>
      </c>
      <c r="G35" s="518">
        <f>F35</f>
        <v/>
      </c>
    </row>
    <row r="36" ht="18" customFormat="1" customHeight="1" s="494">
      <c r="A36" s="500" t="inlineStr">
        <is>
          <t>29</t>
        </is>
      </c>
      <c r="B36" s="514">
        <f>'Thông tin hoc sinh'!B31</f>
        <v/>
      </c>
      <c r="C36" s="515">
        <f>'Thông tin hoc sinh'!C31</f>
        <v/>
      </c>
      <c r="D36" s="518" t="n">
        <v>6</v>
      </c>
      <c r="E36" s="518" t="n">
        <v>7</v>
      </c>
      <c r="F36" s="519">
        <f>(D36+E36)/2</f>
        <v/>
      </c>
      <c r="G36" s="518">
        <f>F36</f>
        <v/>
      </c>
    </row>
    <row r="37" ht="18" customFormat="1" customHeight="1" s="494">
      <c r="A37" s="500" t="inlineStr">
        <is>
          <t>30</t>
        </is>
      </c>
      <c r="B37" s="514">
        <f>'Thông tin hoc sinh'!B32</f>
        <v/>
      </c>
      <c r="C37" s="515">
        <f>'Thông tin hoc sinh'!C32</f>
        <v/>
      </c>
      <c r="D37" s="518" t="n">
        <v>8</v>
      </c>
      <c r="E37" s="518" t="n">
        <v>8</v>
      </c>
      <c r="F37" s="519">
        <f>(D37+E37)/2</f>
        <v/>
      </c>
      <c r="G37" s="518">
        <f>F37</f>
        <v/>
      </c>
    </row>
    <row r="38" ht="18" customFormat="1" customHeight="1" s="494">
      <c r="A38" s="500" t="inlineStr">
        <is>
          <t>31</t>
        </is>
      </c>
      <c r="B38" s="514">
        <f>'Thông tin hoc sinh'!B33</f>
        <v/>
      </c>
      <c r="C38" s="515">
        <f>'Thông tin hoc sinh'!C33</f>
        <v/>
      </c>
      <c r="D38" s="518" t="n">
        <v>6</v>
      </c>
      <c r="E38" s="518" t="n">
        <v>7</v>
      </c>
      <c r="F38" s="519">
        <f>(D38+E38)/2</f>
        <v/>
      </c>
      <c r="G38" s="518">
        <f>F38</f>
        <v/>
      </c>
    </row>
    <row r="39" ht="18" customFormat="1" customHeight="1" s="494">
      <c r="A39" s="500" t="inlineStr">
        <is>
          <t>32</t>
        </is>
      </c>
      <c r="B39" s="514">
        <f>'Thông tin hoc sinh'!B34</f>
        <v/>
      </c>
      <c r="C39" s="515">
        <f>'Thông tin hoc sinh'!C34</f>
        <v/>
      </c>
      <c r="D39" s="518" t="n">
        <v>6</v>
      </c>
      <c r="E39" s="518" t="n">
        <v>7</v>
      </c>
      <c r="F39" s="519">
        <f>(D39+E39)/2</f>
        <v/>
      </c>
      <c r="G39" s="518">
        <f>F39</f>
        <v/>
      </c>
    </row>
    <row r="40" ht="18" customFormat="1" customHeight="1" s="494">
      <c r="A40" s="500" t="inlineStr">
        <is>
          <t>33</t>
        </is>
      </c>
      <c r="B40" s="514">
        <f>'Thông tin hoc sinh'!B35</f>
        <v/>
      </c>
      <c r="C40" s="515">
        <f>'Thông tin hoc sinh'!C35</f>
        <v/>
      </c>
      <c r="D40" s="518" t="n">
        <v>6</v>
      </c>
      <c r="E40" s="518" t="n">
        <v>7</v>
      </c>
      <c r="F40" s="519">
        <f>(D40+E40)/2</f>
        <v/>
      </c>
      <c r="G40" s="518">
        <f>F40</f>
        <v/>
      </c>
    </row>
    <row r="41" ht="18" customFormat="1" customHeight="1" s="494">
      <c r="A41" s="500" t="inlineStr">
        <is>
          <t>34</t>
        </is>
      </c>
      <c r="B41" s="514">
        <f>'Thông tin hoc sinh'!B36</f>
        <v/>
      </c>
      <c r="C41" s="515">
        <f>'Thông tin hoc sinh'!C36</f>
        <v/>
      </c>
      <c r="D41" s="518" t="n">
        <v>7</v>
      </c>
      <c r="E41" s="518" t="n">
        <v>7</v>
      </c>
      <c r="F41" s="519">
        <f>(D41+E41)/2</f>
        <v/>
      </c>
      <c r="G41" s="518">
        <f>F41</f>
        <v/>
      </c>
    </row>
    <row r="42" ht="18" customFormat="1" customHeight="1" s="494">
      <c r="A42" s="504" t="inlineStr">
        <is>
          <t>35</t>
        </is>
      </c>
      <c r="B42" s="514">
        <f>'Thông tin hoc sinh'!B37</f>
        <v/>
      </c>
      <c r="C42" s="515">
        <f>'Thông tin hoc sinh'!C37</f>
        <v/>
      </c>
      <c r="D42" s="520" t="n">
        <v>7</v>
      </c>
      <c r="E42" s="520" t="n">
        <v>8</v>
      </c>
      <c r="F42" s="521">
        <f>(D42+E42)/2</f>
        <v/>
      </c>
      <c r="G42" s="520">
        <f>F42</f>
        <v/>
      </c>
    </row>
    <row r="43" ht="19.5" customFormat="1" customHeight="1" s="522">
      <c r="A43" s="493" t="n"/>
      <c r="B43" s="493" t="n"/>
      <c r="C43" s="493" t="n"/>
      <c r="D43" s="493" t="n"/>
      <c r="E43" s="493" t="n"/>
      <c r="F43" s="523">
        <f>"Đăk Tô, ngày ..… tháng ….. năm "&amp;MENU!E5</f>
        <v/>
      </c>
      <c r="G43" s="493" t="n"/>
    </row>
    <row r="44" ht="18.75" customFormat="1" customHeight="1" s="524">
      <c r="A44" s="417" t="inlineStr">
        <is>
          <t>CHỦ TỊCH HỘI ĐỒNG</t>
        </is>
      </c>
      <c r="E44" s="525" t="n"/>
      <c r="F44" s="417" t="inlineStr">
        <is>
          <t>THƯ KÝ</t>
        </is>
      </c>
      <c r="G44" s="525" t="n"/>
    </row>
    <row r="45" ht="15.75" customHeight="1" s="335">
      <c r="A45" s="375" t="n"/>
      <c r="B45" s="375" t="n"/>
      <c r="C45" s="375" t="n"/>
      <c r="D45" s="375" t="n"/>
      <c r="E45" s="375" t="n"/>
      <c r="F45" s="375" t="n"/>
      <c r="G45" s="375" t="n"/>
    </row>
    <row r="46" ht="15.75" customHeight="1" s="335">
      <c r="A46" s="375" t="n"/>
      <c r="B46" s="375" t="n"/>
      <c r="C46" s="375" t="n"/>
      <c r="D46" s="375" t="n"/>
      <c r="E46" s="375" t="n"/>
      <c r="F46" s="375" t="n"/>
      <c r="G46" s="375" t="n"/>
    </row>
    <row r="47" ht="15.75" customHeight="1" s="335">
      <c r="A47" s="375" t="n"/>
      <c r="B47" s="375" t="n"/>
      <c r="C47" s="375" t="n"/>
      <c r="D47" s="375" t="n"/>
      <c r="E47" s="375" t="n"/>
      <c r="F47" s="375" t="n"/>
      <c r="G47" s="375" t="n"/>
    </row>
    <row r="48" ht="15.75" customHeight="1" s="335">
      <c r="A48" s="375" t="n"/>
      <c r="B48" s="375" t="n"/>
      <c r="C48" s="375" t="n"/>
      <c r="D48" s="375" t="n"/>
      <c r="E48" s="375" t="n"/>
      <c r="F48" s="375" t="n"/>
      <c r="G48" s="375" t="n"/>
    </row>
    <row r="49" ht="15.75" customHeight="1" s="335">
      <c r="A49" s="375" t="n"/>
      <c r="B49" s="375" t="n"/>
      <c r="C49" s="375" t="n"/>
      <c r="D49" s="375" t="n"/>
      <c r="E49" s="375" t="n"/>
      <c r="F49" s="375" t="n"/>
      <c r="G49" s="375" t="n"/>
    </row>
    <row r="50" ht="15.75" customHeight="1" s="335">
      <c r="A50" s="375" t="n"/>
      <c r="B50" s="375" t="n"/>
      <c r="C50" s="375" t="n"/>
      <c r="D50" s="375" t="n"/>
      <c r="E50" s="375" t="n"/>
      <c r="F50" s="375" t="n"/>
      <c r="G50" s="375" t="n"/>
    </row>
    <row r="51" ht="15.75" customHeight="1" s="335">
      <c r="A51" s="375" t="n"/>
      <c r="B51" s="375" t="n"/>
      <c r="C51" s="375" t="n"/>
      <c r="D51" s="375" t="n"/>
      <c r="E51" s="375" t="n"/>
      <c r="F51" s="375" t="n"/>
      <c r="G51" s="375" t="n"/>
    </row>
    <row r="52" ht="15.75" customHeight="1" s="335">
      <c r="A52" s="375" t="n"/>
      <c r="B52" s="375" t="n"/>
      <c r="C52" s="375" t="n"/>
      <c r="D52" s="375" t="n"/>
      <c r="E52" s="375" t="n"/>
      <c r="F52" s="375" t="n"/>
      <c r="G52" s="375" t="n"/>
    </row>
    <row r="53" ht="15.75" customHeight="1" s="335">
      <c r="A53" s="375" t="n"/>
      <c r="B53" s="375" t="n"/>
      <c r="C53" s="375" t="n"/>
      <c r="D53" s="375" t="n"/>
      <c r="E53" s="375" t="n"/>
      <c r="F53" s="375" t="n"/>
      <c r="G53" s="375" t="n"/>
    </row>
    <row r="54" ht="15.75" customHeight="1" s="335">
      <c r="A54" s="375" t="n"/>
      <c r="B54" s="375" t="n"/>
      <c r="C54" s="375" t="n"/>
      <c r="D54" s="375" t="n"/>
      <c r="E54" s="375" t="n"/>
      <c r="F54" s="375" t="n"/>
      <c r="G54" s="375" t="n"/>
    </row>
    <row r="55" ht="15.75" customHeight="1" s="335">
      <c r="A55" s="375" t="n"/>
      <c r="B55" s="375" t="n"/>
      <c r="C55" s="375" t="n"/>
      <c r="D55" s="375" t="n"/>
      <c r="E55" s="375" t="n"/>
      <c r="F55" s="375" t="n"/>
      <c r="G55" s="375" t="n"/>
    </row>
    <row r="56" ht="15.75" customHeight="1" s="335">
      <c r="A56" s="375" t="n"/>
      <c r="B56" s="375" t="n"/>
      <c r="C56" s="375" t="n"/>
      <c r="D56" s="375" t="n"/>
      <c r="E56" s="375" t="n"/>
      <c r="F56" s="375" t="n"/>
      <c r="G56" s="375" t="n"/>
    </row>
    <row r="57" ht="15.75" customHeight="1" s="335">
      <c r="A57" s="375" t="n"/>
      <c r="B57" s="375" t="n"/>
      <c r="C57" s="375" t="n"/>
      <c r="D57" s="375" t="n"/>
      <c r="E57" s="375" t="n"/>
      <c r="F57" s="375" t="n"/>
      <c r="G57" s="375" t="n"/>
    </row>
    <row r="58" ht="15.75" customHeight="1" s="335">
      <c r="A58" s="375" t="n"/>
      <c r="B58" s="375" t="n"/>
      <c r="C58" s="375" t="n"/>
      <c r="D58" s="375" t="n"/>
      <c r="E58" s="375" t="n"/>
      <c r="F58" s="375" t="n"/>
      <c r="G58" s="375" t="n"/>
    </row>
    <row r="59" ht="15.75" customHeight="1" s="335">
      <c r="A59" s="375" t="n"/>
      <c r="B59" s="375" t="n"/>
      <c r="C59" s="375" t="n"/>
      <c r="D59" s="375" t="n"/>
      <c r="E59" s="375" t="n"/>
      <c r="F59" s="375" t="n"/>
      <c r="G59" s="375" t="n"/>
    </row>
    <row r="60" ht="15.75" customHeight="1" s="335">
      <c r="A60" s="375" t="n"/>
      <c r="B60" s="375" t="n"/>
      <c r="C60" s="375" t="n"/>
      <c r="D60" s="375" t="n"/>
      <c r="E60" s="375" t="n"/>
      <c r="F60" s="375" t="n"/>
      <c r="G60" s="375" t="n"/>
    </row>
    <row r="61" ht="15.75" customHeight="1" s="335">
      <c r="A61" s="375" t="n"/>
      <c r="B61" s="375" t="n"/>
      <c r="C61" s="375" t="n"/>
      <c r="D61" s="375" t="n"/>
      <c r="E61" s="375" t="n"/>
      <c r="F61" s="375" t="n"/>
      <c r="G61" s="375" t="n"/>
    </row>
    <row r="62" ht="15.75" customHeight="1" s="335">
      <c r="A62" s="375" t="n"/>
      <c r="B62" s="375" t="n"/>
      <c r="C62" s="375" t="n"/>
      <c r="D62" s="375" t="n"/>
      <c r="E62" s="375" t="n"/>
      <c r="F62" s="375" t="n"/>
      <c r="G62" s="375" t="n"/>
    </row>
    <row r="63" ht="15.75" customHeight="1" s="335">
      <c r="A63" s="375" t="n"/>
      <c r="B63" s="375" t="n"/>
      <c r="C63" s="375" t="n"/>
      <c r="D63" s="375" t="n"/>
      <c r="E63" s="375" t="n"/>
      <c r="F63" s="375" t="n"/>
      <c r="G63" s="375" t="n"/>
    </row>
    <row r="64" ht="15.75" customHeight="1" s="335">
      <c r="A64" s="375" t="n"/>
      <c r="B64" s="375" t="n"/>
      <c r="C64" s="375" t="n"/>
      <c r="D64" s="375" t="n"/>
      <c r="E64" s="375" t="n"/>
      <c r="F64" s="375" t="n"/>
      <c r="G64" s="375" t="n"/>
    </row>
    <row r="65" ht="15.75" customHeight="1" s="335">
      <c r="A65" s="375" t="n"/>
      <c r="B65" s="375" t="n"/>
      <c r="C65" s="375" t="n"/>
      <c r="D65" s="375" t="n"/>
      <c r="E65" s="375" t="n"/>
      <c r="F65" s="375" t="n"/>
      <c r="G65" s="375" t="n"/>
    </row>
    <row r="66" ht="15.75" customHeight="1" s="335">
      <c r="A66" s="375" t="n"/>
      <c r="B66" s="375" t="n"/>
      <c r="C66" s="375" t="n"/>
      <c r="D66" s="375" t="n"/>
      <c r="E66" s="375" t="n"/>
      <c r="F66" s="375" t="n"/>
      <c r="G66" s="375" t="n"/>
    </row>
    <row r="67" ht="15.75" customHeight="1" s="335">
      <c r="A67" s="375" t="n"/>
      <c r="B67" s="375" t="n"/>
      <c r="C67" s="375" t="n"/>
      <c r="D67" s="375" t="n"/>
      <c r="E67" s="375" t="n"/>
      <c r="F67" s="375" t="n"/>
      <c r="G67" s="375" t="n"/>
    </row>
    <row r="68" ht="15.75" customHeight="1" s="335">
      <c r="A68" s="375" t="n"/>
      <c r="B68" s="375" t="n"/>
      <c r="C68" s="375" t="n"/>
      <c r="D68" s="375" t="n"/>
      <c r="E68" s="375" t="n"/>
      <c r="F68" s="375" t="n"/>
      <c r="G68" s="375" t="n"/>
    </row>
    <row r="69" ht="15.75" customHeight="1" s="335">
      <c r="A69" s="375" t="n"/>
      <c r="B69" s="375" t="n"/>
      <c r="C69" s="375" t="n"/>
      <c r="D69" s="375" t="n"/>
      <c r="E69" s="375" t="n"/>
      <c r="F69" s="375" t="n"/>
      <c r="G69" s="375" t="n"/>
    </row>
    <row r="70" ht="15.75" customHeight="1" s="335">
      <c r="A70" s="375" t="n"/>
      <c r="B70" s="375" t="n"/>
      <c r="C70" s="375" t="n"/>
      <c r="D70" s="375" t="n"/>
      <c r="E70" s="375" t="n"/>
      <c r="F70" s="375" t="n"/>
      <c r="G70" s="375" t="n"/>
    </row>
    <row r="71" ht="15.75" customHeight="1" s="335">
      <c r="A71" s="375" t="n"/>
      <c r="B71" s="375" t="n"/>
      <c r="C71" s="375" t="n"/>
      <c r="D71" s="375" t="n"/>
      <c r="E71" s="375" t="n"/>
      <c r="F71" s="375" t="n"/>
      <c r="G71" s="375" t="n"/>
    </row>
    <row r="72" ht="15.75" customHeight="1" s="335">
      <c r="A72" s="375" t="n"/>
      <c r="B72" s="375" t="n"/>
      <c r="C72" s="375" t="n"/>
      <c r="D72" s="375" t="n"/>
      <c r="E72" s="375" t="n"/>
      <c r="F72" s="375" t="n"/>
      <c r="G72" s="375" t="n"/>
    </row>
    <row r="73" ht="15.75" customHeight="1" s="335">
      <c r="A73" s="375" t="n"/>
      <c r="B73" s="375" t="n"/>
      <c r="C73" s="375" t="n"/>
      <c r="D73" s="375" t="n"/>
      <c r="E73" s="375" t="n"/>
      <c r="F73" s="375" t="n"/>
      <c r="G73" s="375" t="n"/>
    </row>
    <row r="74" ht="15.75" customHeight="1" s="335">
      <c r="A74" s="375" t="n"/>
      <c r="B74" s="375" t="n"/>
      <c r="C74" s="375" t="n"/>
      <c r="D74" s="375" t="n"/>
      <c r="E74" s="375" t="n"/>
      <c r="F74" s="375" t="n"/>
      <c r="G74" s="375" t="n"/>
    </row>
    <row r="75" ht="15.75" customHeight="1" s="335">
      <c r="A75" s="375" t="n"/>
      <c r="B75" s="375" t="n"/>
      <c r="C75" s="375" t="n"/>
      <c r="D75" s="375" t="n"/>
      <c r="E75" s="375" t="n"/>
      <c r="F75" s="375" t="n"/>
      <c r="G75" s="375" t="n"/>
    </row>
    <row r="76" ht="15.75" customHeight="1" s="335">
      <c r="A76" s="375" t="n"/>
      <c r="B76" s="375" t="n"/>
      <c r="C76" s="375" t="n"/>
      <c r="D76" s="375" t="n"/>
      <c r="E76" s="375" t="n"/>
      <c r="F76" s="375" t="n"/>
      <c r="G76" s="375" t="n"/>
    </row>
    <row r="77" ht="15.75" customHeight="1" s="335">
      <c r="A77" s="375" t="n"/>
      <c r="B77" s="375" t="n"/>
      <c r="C77" s="375" t="n"/>
      <c r="D77" s="375" t="n"/>
      <c r="E77" s="375" t="n"/>
      <c r="F77" s="375" t="n"/>
      <c r="G77" s="375" t="n"/>
    </row>
    <row r="78" ht="15.75" customHeight="1" s="335">
      <c r="A78" s="375" t="n"/>
      <c r="B78" s="375" t="n"/>
      <c r="C78" s="375" t="n"/>
      <c r="D78" s="375" t="n"/>
      <c r="E78" s="375" t="n"/>
      <c r="F78" s="375" t="n"/>
      <c r="G78" s="375" t="n"/>
    </row>
    <row r="79" ht="15.75" customHeight="1" s="335">
      <c r="A79" s="375" t="n"/>
      <c r="B79" s="375" t="n"/>
      <c r="C79" s="375" t="n"/>
      <c r="D79" s="375" t="n"/>
      <c r="E79" s="375" t="n"/>
      <c r="F79" s="375" t="n"/>
      <c r="G79" s="375" t="n"/>
    </row>
    <row r="80" ht="15.75" customHeight="1" s="335">
      <c r="A80" s="375" t="n"/>
      <c r="B80" s="375" t="n"/>
      <c r="C80" s="375" t="n"/>
      <c r="D80" s="375" t="n"/>
      <c r="E80" s="375" t="n"/>
      <c r="F80" s="375" t="n"/>
      <c r="G80" s="375" t="n"/>
    </row>
    <row r="81" ht="15.75" customHeight="1" s="335">
      <c r="A81" s="375" t="n"/>
      <c r="B81" s="375" t="n"/>
      <c r="C81" s="375" t="n"/>
      <c r="D81" s="375" t="n"/>
      <c r="E81" s="375" t="n"/>
      <c r="F81" s="375" t="n"/>
      <c r="G81" s="375" t="n"/>
    </row>
    <row r="82" ht="15.75" customHeight="1" s="335">
      <c r="A82" s="375" t="n"/>
      <c r="B82" s="375" t="n"/>
      <c r="C82" s="375" t="n"/>
      <c r="D82" s="375" t="n"/>
      <c r="E82" s="375" t="n"/>
      <c r="F82" s="375" t="n"/>
      <c r="G82" s="375" t="n"/>
    </row>
    <row r="83" ht="15.75" customHeight="1" s="335">
      <c r="A83" s="375" t="n"/>
      <c r="B83" s="375" t="n"/>
      <c r="C83" s="375" t="n"/>
      <c r="D83" s="375" t="n"/>
      <c r="E83" s="375" t="n"/>
      <c r="F83" s="375" t="n"/>
      <c r="G83" s="375" t="n"/>
    </row>
    <row r="84" ht="15.75" customHeight="1" s="335">
      <c r="A84" s="375" t="n"/>
      <c r="B84" s="375" t="n"/>
      <c r="C84" s="375" t="n"/>
      <c r="D84" s="375" t="n"/>
      <c r="E84" s="375" t="n"/>
      <c r="F84" s="375" t="n"/>
      <c r="G84" s="375" t="n"/>
    </row>
    <row r="85" ht="15.75" customHeight="1" s="335">
      <c r="A85" s="375" t="n"/>
      <c r="B85" s="375" t="n"/>
      <c r="C85" s="375" t="n"/>
      <c r="D85" s="375" t="n"/>
      <c r="E85" s="375" t="n"/>
      <c r="F85" s="375" t="n"/>
      <c r="G85" s="375" t="n"/>
    </row>
    <row r="86" ht="15.75" customHeight="1" s="335">
      <c r="A86" s="375" t="n"/>
      <c r="B86" s="375" t="n"/>
      <c r="C86" s="375" t="n"/>
      <c r="D86" s="375" t="n"/>
      <c r="E86" s="375" t="n"/>
      <c r="F86" s="375" t="n"/>
      <c r="G86" s="375" t="n"/>
    </row>
    <row r="87" ht="15.75" customHeight="1" s="335">
      <c r="A87" s="375" t="n"/>
      <c r="B87" s="375" t="n"/>
      <c r="C87" s="375" t="n"/>
      <c r="D87" s="375" t="n"/>
      <c r="E87" s="375" t="n"/>
      <c r="F87" s="375" t="n"/>
      <c r="G87" s="375" t="n"/>
    </row>
    <row r="88" ht="15.75" customHeight="1" s="335">
      <c r="A88" s="375" t="n"/>
      <c r="B88" s="375" t="n"/>
      <c r="C88" s="375" t="n"/>
      <c r="D88" s="375" t="n"/>
      <c r="E88" s="375" t="n"/>
      <c r="F88" s="375" t="n"/>
      <c r="G88" s="375" t="n"/>
    </row>
    <row r="89" ht="15.75" customHeight="1" s="335">
      <c r="A89" s="375" t="n"/>
      <c r="B89" s="375" t="n"/>
      <c r="C89" s="375" t="n"/>
      <c r="D89" s="375" t="n"/>
      <c r="E89" s="375" t="n"/>
      <c r="F89" s="375" t="n"/>
      <c r="G89" s="375" t="n"/>
    </row>
    <row r="90" ht="15.75" customHeight="1" s="335">
      <c r="A90" s="375" t="n"/>
      <c r="B90" s="375" t="n"/>
      <c r="C90" s="375" t="n"/>
      <c r="D90" s="375" t="n"/>
      <c r="E90" s="375" t="n"/>
      <c r="F90" s="375" t="n"/>
      <c r="G90" s="375" t="n"/>
    </row>
    <row r="91" ht="15.75" customHeight="1" s="335">
      <c r="A91" s="375" t="n"/>
      <c r="B91" s="375" t="n"/>
      <c r="C91" s="375" t="n"/>
      <c r="D91" s="375" t="n"/>
      <c r="E91" s="375" t="n"/>
      <c r="F91" s="375" t="n"/>
      <c r="G91" s="375" t="n"/>
    </row>
    <row r="92" ht="15.75" customHeight="1" s="335">
      <c r="A92" s="375" t="n"/>
      <c r="B92" s="375" t="n"/>
      <c r="C92" s="375" t="n"/>
      <c r="D92" s="375" t="n"/>
      <c r="E92" s="375" t="n"/>
      <c r="F92" s="375" t="n"/>
      <c r="G92" s="375" t="n"/>
    </row>
    <row r="93" ht="15.75" customHeight="1" s="335">
      <c r="A93" s="375" t="n"/>
      <c r="B93" s="375" t="n"/>
      <c r="C93" s="375" t="n"/>
      <c r="D93" s="375" t="n"/>
      <c r="E93" s="375" t="n"/>
      <c r="F93" s="375" t="n"/>
      <c r="G93" s="375" t="n"/>
    </row>
    <row r="94" ht="15.75" customHeight="1" s="335">
      <c r="A94" s="375" t="n"/>
      <c r="B94" s="375" t="n"/>
      <c r="C94" s="375" t="n"/>
      <c r="D94" s="375" t="n"/>
      <c r="E94" s="375" t="n"/>
      <c r="F94" s="375" t="n"/>
      <c r="G94" s="375" t="n"/>
    </row>
    <row r="95" ht="15.75" customHeight="1" s="335">
      <c r="A95" s="375" t="n"/>
      <c r="B95" s="375" t="n"/>
      <c r="C95" s="375" t="n"/>
      <c r="D95" s="375" t="n"/>
      <c r="E95" s="375" t="n"/>
      <c r="F95" s="375" t="n"/>
      <c r="G95" s="375" t="n"/>
    </row>
    <row r="96" ht="15.75" customHeight="1" s="335">
      <c r="A96" s="375" t="n"/>
      <c r="B96" s="375" t="n"/>
      <c r="C96" s="375" t="n"/>
      <c r="D96" s="375" t="n"/>
      <c r="E96" s="375" t="n"/>
      <c r="F96" s="375" t="n"/>
      <c r="G96" s="375" t="n"/>
    </row>
    <row r="97" ht="15.75" customHeight="1" s="335">
      <c r="A97" s="375" t="n"/>
      <c r="B97" s="375" t="n"/>
      <c r="C97" s="375" t="n"/>
      <c r="D97" s="375" t="n"/>
      <c r="E97" s="375" t="n"/>
      <c r="F97" s="375" t="n"/>
      <c r="G97" s="375" t="n"/>
    </row>
    <row r="98" ht="15.75" customHeight="1" s="335">
      <c r="A98" s="375" t="n"/>
      <c r="B98" s="375" t="n"/>
      <c r="C98" s="375" t="n"/>
      <c r="D98" s="375" t="n"/>
      <c r="E98" s="375" t="n"/>
      <c r="F98" s="375" t="n"/>
      <c r="G98" s="375" t="n"/>
    </row>
    <row r="99" ht="15.75" customHeight="1" s="335">
      <c r="A99" s="375" t="n"/>
      <c r="B99" s="375" t="n"/>
      <c r="C99" s="375" t="n"/>
      <c r="D99" s="375" t="n"/>
      <c r="E99" s="375" t="n"/>
      <c r="F99" s="375" t="n"/>
      <c r="G99" s="375" t="n"/>
    </row>
    <row r="100" ht="15.75" customHeight="1" s="335">
      <c r="A100" s="375" t="n"/>
      <c r="B100" s="375" t="n"/>
      <c r="C100" s="375" t="n"/>
      <c r="D100" s="375" t="n"/>
      <c r="E100" s="375" t="n"/>
      <c r="F100" s="375" t="n"/>
      <c r="G100" s="375" t="n"/>
    </row>
    <row r="101" ht="15.75" customHeight="1" s="335">
      <c r="A101" s="375" t="n"/>
      <c r="B101" s="375" t="n"/>
      <c r="C101" s="375" t="n"/>
      <c r="D101" s="375" t="n"/>
      <c r="E101" s="375" t="n"/>
      <c r="F101" s="375" t="n"/>
      <c r="G101" s="375" t="n"/>
    </row>
    <row r="102" ht="15.75" customHeight="1" s="335">
      <c r="A102" s="375" t="n"/>
      <c r="B102" s="375" t="n"/>
      <c r="C102" s="375" t="n"/>
      <c r="D102" s="375" t="n"/>
      <c r="E102" s="375" t="n"/>
      <c r="F102" s="375" t="n"/>
      <c r="G102" s="375" t="n"/>
    </row>
    <row r="103" ht="15.75" customHeight="1" s="335">
      <c r="A103" s="375" t="n"/>
      <c r="B103" s="375" t="n"/>
      <c r="C103" s="375" t="n"/>
      <c r="D103" s="375" t="n"/>
      <c r="E103" s="375" t="n"/>
      <c r="F103" s="375" t="n"/>
      <c r="G103" s="375" t="n"/>
    </row>
  </sheetData>
  <mergeCells count="7">
    <mergeCell ref="A1:D1"/>
    <mergeCell ref="E2:G2"/>
    <mergeCell ref="A4:G4"/>
    <mergeCell ref="E1:G1"/>
    <mergeCell ref="A2:D2"/>
    <mergeCell ref="A5:G5"/>
    <mergeCell ref="A44:D44"/>
  </mergeCells>
  <printOptions horizontalCentered="0" verticalCentered="0" headings="0" gridLines="0" gridLinesSet="1"/>
  <pageMargins left="0.433333333333333" right="0.39375" top="0.39375" bottom="0.354166666666667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F38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J19" activeCellId="0" sqref="J19"/>
    </sheetView>
  </sheetViews>
  <sheetFormatPr baseColWidth="8" defaultColWidth="8.99609375" defaultRowHeight="15" zeroHeight="0" outlineLevelRow="0"/>
  <cols>
    <col width="4.62" customWidth="1" style="526" min="1" max="1"/>
    <col width="15.5" customWidth="1" style="526" min="2" max="2"/>
    <col width="6.62" customWidth="1" style="527" min="3" max="3"/>
    <col width="6.99" customWidth="1" style="527" min="4" max="4"/>
    <col width="13.37" customWidth="1" style="527" min="5" max="5"/>
    <col width="15.12" customWidth="1" style="527" min="6" max="6"/>
    <col width="6.87" customWidth="1" style="528" min="7" max="7"/>
    <col width="6.62" customWidth="1" style="529" min="8" max="8"/>
    <col width="6.99" customWidth="1" style="529" min="9" max="9"/>
    <col width="13.37" customWidth="1" style="530" min="10" max="10"/>
    <col width="15.12" customWidth="1" style="529" min="11" max="11"/>
    <col width="6.87" customWidth="1" style="530" min="12" max="12"/>
    <col width="6.62" customWidth="1" style="531" min="13" max="13"/>
    <col width="6.99" customWidth="1" style="531" min="14" max="14"/>
    <col width="12.36" customWidth="1" style="532" min="15" max="15"/>
    <col width="14.24" customWidth="1" style="531" min="16" max="16"/>
    <col width="6.87" customWidth="1" style="533" min="17" max="17"/>
    <col width="7.37" customWidth="1" style="526" min="18" max="18"/>
    <col width="6.62" customWidth="1" style="526" min="19" max="19"/>
    <col width="10.12" customWidth="1" style="533" min="20" max="20"/>
    <col width="9.5" customWidth="1" style="526" min="21" max="21"/>
    <col width="11.87" customWidth="1" style="526" min="22" max="22"/>
    <col width="19.12" customWidth="1" style="526" min="23" max="23"/>
    <col width="8.99" customWidth="1" style="526" min="24" max="257"/>
  </cols>
  <sheetData>
    <row r="1" ht="31.5" customHeight="1" s="335">
      <c r="A1" s="464">
        <f>"BẢNG ĐIỂM LỚP ĐÀO TẠO NGHỀ: "&amp;MENU!E3&amp;"; Khóa: "&amp;MENU!E4&amp;"; Năm "&amp;MENU!E5</f>
        <v/>
      </c>
    </row>
    <row r="2" ht="18.75" customHeight="1" s="335">
      <c r="A2" s="534" t="inlineStr">
        <is>
          <t>STT</t>
        </is>
      </c>
      <c r="B2" s="534" t="inlineStr">
        <is>
          <t>HỌ VÀ TÊN</t>
        </is>
      </c>
      <c r="C2" s="535" t="inlineStr">
        <is>
          <t>Mô đun 1</t>
        </is>
      </c>
      <c r="D2" s="367" t="n"/>
      <c r="E2" s="367" t="n"/>
      <c r="F2" s="367" t="n"/>
      <c r="G2" s="342" t="n"/>
      <c r="H2" s="536" t="inlineStr">
        <is>
          <t>Mô đun 2</t>
        </is>
      </c>
      <c r="I2" s="367" t="n"/>
      <c r="J2" s="367" t="n"/>
      <c r="K2" s="367" t="n"/>
      <c r="L2" s="342" t="n"/>
      <c r="M2" s="537" t="inlineStr">
        <is>
          <t>Mô đun 3</t>
        </is>
      </c>
      <c r="N2" s="367" t="n"/>
      <c r="O2" s="367" t="n"/>
      <c r="P2" s="367" t="n"/>
      <c r="Q2" s="342" t="n"/>
      <c r="R2" s="534" t="inlineStr">
        <is>
          <t>CB1</t>
        </is>
      </c>
      <c r="S2" s="534" t="inlineStr">
        <is>
          <t>CB2</t>
        </is>
      </c>
      <c r="T2" s="538" t="inlineStr">
        <is>
          <t>ĐIỂM Trung bình KTKTKH</t>
        </is>
      </c>
      <c r="U2" s="538" t="inlineStr">
        <is>
          <t>điểm khóa học</t>
        </is>
      </c>
      <c r="V2" s="534" t="inlineStr">
        <is>
          <t>XẾP LOẠI</t>
        </is>
      </c>
    </row>
    <row r="3" ht="28.5" customFormat="1" customHeight="1" s="539">
      <c r="A3" s="357" t="n"/>
      <c r="B3" s="357" t="n"/>
      <c r="C3" s="540" t="inlineStr">
        <is>
          <t>KT TX</t>
        </is>
      </c>
      <c r="D3" s="541" t="inlineStr">
        <is>
          <t>KT ĐK</t>
        </is>
      </c>
      <c r="E3" s="541" t="inlineStr">
        <is>
          <t>Tb KT ĐK, TX</t>
        </is>
      </c>
      <c r="F3" s="541" t="inlineStr">
        <is>
          <t>Điểm KTKT MĐ</t>
        </is>
      </c>
      <c r="G3" s="540" t="inlineStr">
        <is>
          <t>TKMĐ</t>
        </is>
      </c>
      <c r="H3" s="542" t="inlineStr">
        <is>
          <t>KT TX</t>
        </is>
      </c>
      <c r="I3" s="543" t="inlineStr">
        <is>
          <t>KT ĐK</t>
        </is>
      </c>
      <c r="J3" s="543" t="inlineStr">
        <is>
          <t>Tb KT ĐK, TX</t>
        </is>
      </c>
      <c r="K3" s="543" t="inlineStr">
        <is>
          <t>Điểm KTKT MĐ</t>
        </is>
      </c>
      <c r="L3" s="542" t="inlineStr">
        <is>
          <t>TKMĐ</t>
        </is>
      </c>
      <c r="M3" s="544" t="inlineStr">
        <is>
          <t>KT TX</t>
        </is>
      </c>
      <c r="N3" s="545" t="inlineStr">
        <is>
          <t>KT ĐK</t>
        </is>
      </c>
      <c r="O3" s="545" t="inlineStr">
        <is>
          <t>Tb KT ĐK, TX</t>
        </is>
      </c>
      <c r="P3" s="545" t="inlineStr">
        <is>
          <t>Điểm KTKT MĐ</t>
        </is>
      </c>
      <c r="Q3" s="544" t="inlineStr">
        <is>
          <t>TKMĐ</t>
        </is>
      </c>
      <c r="R3" s="357" t="n"/>
      <c r="S3" s="357" t="n"/>
      <c r="T3" s="357" t="n"/>
      <c r="U3" s="357" t="n"/>
      <c r="V3" s="357" t="n"/>
    </row>
    <row r="4" ht="16.5" customFormat="1" customHeight="1" s="546">
      <c r="A4" s="547" t="n">
        <v>1</v>
      </c>
      <c r="B4" s="548">
        <f>'Thông tin hoc sinh'!B3</f>
        <v/>
      </c>
      <c r="C4" s="549" t="n">
        <v>7</v>
      </c>
      <c r="D4" s="550" t="n">
        <v>8</v>
      </c>
      <c r="E4" s="551">
        <f>(C4+D4*2)/3</f>
        <v/>
      </c>
      <c r="F4" s="549" t="n">
        <v>8.5</v>
      </c>
      <c r="G4" s="552">
        <f>(2*E4+3*F4)/5</f>
        <v/>
      </c>
      <c r="H4" s="553" t="n">
        <v>7</v>
      </c>
      <c r="I4" s="554" t="n">
        <v>8</v>
      </c>
      <c r="J4" s="555">
        <f>(H4+I4*2)/3</f>
        <v/>
      </c>
      <c r="K4" s="553" t="n">
        <v>8.5</v>
      </c>
      <c r="L4" s="556">
        <f>(2*J4+3*K4)/5</f>
        <v/>
      </c>
      <c r="M4" s="557" t="n">
        <v>7</v>
      </c>
      <c r="N4" s="558" t="n">
        <v>8</v>
      </c>
      <c r="O4" s="559">
        <f>(M4+N4*2)/3</f>
        <v/>
      </c>
      <c r="P4" s="557" t="n">
        <v>8.5</v>
      </c>
      <c r="Q4" s="560">
        <f>(2*O4+3*P4)/5</f>
        <v/>
      </c>
      <c r="R4" s="561" t="n">
        <v>7</v>
      </c>
      <c r="S4" s="561" t="n">
        <v>7</v>
      </c>
      <c r="T4" s="562">
        <f>(R4+S4)/2</f>
        <v/>
      </c>
      <c r="U4" s="562">
        <f>((G4+Q4+L4)+(2*T4))/5</f>
        <v/>
      </c>
      <c r="V4" s="561">
        <f>IF(U4&gt;=8.95," xuất sắc",IF(U4&gt;=7.95,"Giỏi",IF(U4&gt;=6.95,"Khá",IF(U4&gt;=5.95,"TB-khá",IF(U4&gt;=4.95,"Trung bình","yếu")))))</f>
        <v/>
      </c>
      <c r="Z4" s="546" t="n"/>
    </row>
    <row r="5" ht="16.5" customFormat="1" customHeight="1" s="546">
      <c r="A5" s="547" t="n">
        <v>2</v>
      </c>
      <c r="B5" s="548">
        <f>'Thông tin hoc sinh'!B4</f>
        <v/>
      </c>
      <c r="C5" s="549" t="n">
        <v>6</v>
      </c>
      <c r="D5" s="550" t="n">
        <v>6</v>
      </c>
      <c r="E5" s="551">
        <f>(C5+D5*2)/3</f>
        <v/>
      </c>
      <c r="F5" s="549" t="n">
        <v>7.5</v>
      </c>
      <c r="G5" s="552">
        <f>(2*E5+3*F5)/5</f>
        <v/>
      </c>
      <c r="H5" s="553" t="n">
        <v>6</v>
      </c>
      <c r="I5" s="554" t="n">
        <v>6</v>
      </c>
      <c r="J5" s="555">
        <f>(H5+I5*2)/3</f>
        <v/>
      </c>
      <c r="K5" s="553" t="n">
        <v>7.5</v>
      </c>
      <c r="L5" s="556">
        <f>(2*J5+3*K5)/5</f>
        <v/>
      </c>
      <c r="M5" s="557" t="n">
        <v>6</v>
      </c>
      <c r="N5" s="558" t="n">
        <v>6</v>
      </c>
      <c r="O5" s="559">
        <f>(M5+N5*2)/3</f>
        <v/>
      </c>
      <c r="P5" s="557" t="n">
        <v>7.5</v>
      </c>
      <c r="Q5" s="560">
        <f>(2*O5+3*P5)/5</f>
        <v/>
      </c>
      <c r="R5" s="561" t="n">
        <v>7</v>
      </c>
      <c r="S5" s="561" t="n">
        <v>7</v>
      </c>
      <c r="T5" s="562">
        <f>(R5+S5)/2</f>
        <v/>
      </c>
      <c r="U5" s="562">
        <f>((G5+Q5+L5)+(2*T5))/5</f>
        <v/>
      </c>
      <c r="V5" s="561">
        <f>IF(U5&gt;=8.95," xuất sắc",IF(U5&gt;=7.95,"Giỏi",IF(U5&gt;=6.95,"Khá",IF(U5&gt;=5.95,"TB-khá",IF(U5&gt;=4.95,"Trung bình","yếu")))))</f>
        <v/>
      </c>
    </row>
    <row r="6" ht="16.5" customFormat="1" customHeight="1" s="546">
      <c r="A6" s="547" t="n">
        <v>3</v>
      </c>
      <c r="B6" s="548">
        <f>'Thông tin hoc sinh'!B5</f>
        <v/>
      </c>
      <c r="C6" s="549" t="n">
        <v>6</v>
      </c>
      <c r="D6" s="550" t="n">
        <v>7</v>
      </c>
      <c r="E6" s="551">
        <f>(C6+D6*2)/3</f>
        <v/>
      </c>
      <c r="F6" s="549" t="n">
        <v>8</v>
      </c>
      <c r="G6" s="552">
        <f>(2*E6+3*F6)/5</f>
        <v/>
      </c>
      <c r="H6" s="553" t="n">
        <v>6</v>
      </c>
      <c r="I6" s="554" t="n">
        <v>7</v>
      </c>
      <c r="J6" s="555">
        <f>(H6+I6*2)/3</f>
        <v/>
      </c>
      <c r="K6" s="553" t="n">
        <v>8</v>
      </c>
      <c r="L6" s="556">
        <f>(2*J6+3*K6)/5</f>
        <v/>
      </c>
      <c r="M6" s="557" t="n">
        <v>6</v>
      </c>
      <c r="N6" s="558" t="n">
        <v>7</v>
      </c>
      <c r="O6" s="559">
        <f>(M6+N6*2)/3</f>
        <v/>
      </c>
      <c r="P6" s="557" t="n">
        <v>8</v>
      </c>
      <c r="Q6" s="560">
        <f>(2*O6+3*P6)/5</f>
        <v/>
      </c>
      <c r="R6" s="561" t="n">
        <v>6</v>
      </c>
      <c r="S6" s="561" t="n">
        <v>7</v>
      </c>
      <c r="T6" s="562">
        <f>(R6+S6)/2</f>
        <v/>
      </c>
      <c r="U6" s="562">
        <f>((G6+Q6+L6)+(2*T6))/5</f>
        <v/>
      </c>
      <c r="V6" s="561">
        <f>IF(U6&gt;=8.95," xuất sắc",IF(U6&gt;=7.95,"Giỏi",IF(U6&gt;=6.95,"Khá",IF(U6&gt;=5.95,"TB-khá",IF(U6&gt;=4.95,"Trung bình","yếu")))))</f>
        <v/>
      </c>
    </row>
    <row r="7" ht="16.5" customFormat="1" customHeight="1" s="546">
      <c r="A7" s="547" t="n">
        <v>4</v>
      </c>
      <c r="B7" s="548">
        <f>'Thông tin hoc sinh'!B6</f>
        <v/>
      </c>
      <c r="C7" s="563" t="n">
        <v>7</v>
      </c>
      <c r="D7" s="550" t="n">
        <v>7</v>
      </c>
      <c r="E7" s="551">
        <f>(C7+D7*2)/3</f>
        <v/>
      </c>
      <c r="F7" s="549" t="n">
        <v>7</v>
      </c>
      <c r="G7" s="552">
        <f>(2*E7+3*F7)/5</f>
        <v/>
      </c>
      <c r="H7" s="564" t="n">
        <v>7</v>
      </c>
      <c r="I7" s="554" t="n">
        <v>7</v>
      </c>
      <c r="J7" s="555">
        <f>(H7+I7*2)/3</f>
        <v/>
      </c>
      <c r="K7" s="553" t="n">
        <v>7</v>
      </c>
      <c r="L7" s="556">
        <f>(2*J7+3*K7)/5</f>
        <v/>
      </c>
      <c r="M7" s="565" t="n">
        <v>7</v>
      </c>
      <c r="N7" s="558" t="n">
        <v>7</v>
      </c>
      <c r="O7" s="559">
        <f>(M7+N7*2)/3</f>
        <v/>
      </c>
      <c r="P7" s="557" t="n">
        <v>7</v>
      </c>
      <c r="Q7" s="560">
        <f>(2*O7+3*P7)/5</f>
        <v/>
      </c>
      <c r="R7" s="561" t="n">
        <v>6</v>
      </c>
      <c r="S7" s="561" t="n">
        <v>7</v>
      </c>
      <c r="T7" s="562">
        <f>(R7+S7)/2</f>
        <v/>
      </c>
      <c r="U7" s="562">
        <f>((G7+Q7+L7)+(2*T7))/5</f>
        <v/>
      </c>
      <c r="V7" s="561">
        <f>IF(U7&gt;=8.95," xuất sắc",IF(U7&gt;=7.95,"Giỏi",IF(U7&gt;=6.95,"Khá",IF(U7&gt;=5.95,"TB-khá",IF(U7&gt;=4.95,"Trung bình","yếu")))))</f>
        <v/>
      </c>
    </row>
    <row r="8" ht="16.5" customFormat="1" customHeight="1" s="546">
      <c r="A8" s="547" t="n">
        <v>5</v>
      </c>
      <c r="B8" s="548">
        <f>'Thông tin hoc sinh'!B7</f>
        <v/>
      </c>
      <c r="C8" s="549" t="n">
        <v>7</v>
      </c>
      <c r="D8" s="550" t="n">
        <v>7</v>
      </c>
      <c r="E8" s="551">
        <f>(C8+D8*2)/3</f>
        <v/>
      </c>
      <c r="F8" s="549" t="n">
        <v>8</v>
      </c>
      <c r="G8" s="552">
        <f>(2*E8+3*F8)/5</f>
        <v/>
      </c>
      <c r="H8" s="553" t="n">
        <v>7</v>
      </c>
      <c r="I8" s="554" t="n">
        <v>7</v>
      </c>
      <c r="J8" s="555">
        <f>(H8+I8*2)/3</f>
        <v/>
      </c>
      <c r="K8" s="553" t="n">
        <v>8</v>
      </c>
      <c r="L8" s="556">
        <f>(2*J8+3*K8)/5</f>
        <v/>
      </c>
      <c r="M8" s="557" t="n">
        <v>7</v>
      </c>
      <c r="N8" s="558" t="n">
        <v>7</v>
      </c>
      <c r="O8" s="559">
        <f>(M8+N8*2)/3</f>
        <v/>
      </c>
      <c r="P8" s="557" t="n">
        <v>8</v>
      </c>
      <c r="Q8" s="560">
        <f>(2*O8+3*P8)/5</f>
        <v/>
      </c>
      <c r="R8" s="561" t="n">
        <v>7</v>
      </c>
      <c r="S8" s="561" t="n">
        <v>6</v>
      </c>
      <c r="T8" s="562">
        <f>(R8+S8)/2</f>
        <v/>
      </c>
      <c r="U8" s="562">
        <f>((G8+Q8+L8)+(2*T8))/5</f>
        <v/>
      </c>
      <c r="V8" s="561">
        <f>IF(U8&gt;=8.95," xuất sắc",IF(U8&gt;=7.95,"Giỏi",IF(U8&gt;=6.95,"Khá",IF(U8&gt;=5.95,"TB-khá",IF(U8&gt;=4.95,"Trung bình","yếu")))))</f>
        <v/>
      </c>
    </row>
    <row r="9" ht="16.5" customFormat="1" customHeight="1" s="546">
      <c r="A9" s="547" t="n">
        <v>6</v>
      </c>
      <c r="B9" s="548">
        <f>'Thông tin hoc sinh'!B8</f>
        <v/>
      </c>
      <c r="C9" s="549" t="n">
        <v>6</v>
      </c>
      <c r="D9" s="550" t="n">
        <v>8</v>
      </c>
      <c r="E9" s="551">
        <f>(C9+D9*2)/3</f>
        <v/>
      </c>
      <c r="F9" s="549" t="n">
        <v>8</v>
      </c>
      <c r="G9" s="552">
        <f>(2*E9+3*F9)/5</f>
        <v/>
      </c>
      <c r="H9" s="553" t="n">
        <v>6</v>
      </c>
      <c r="I9" s="554" t="n">
        <v>8</v>
      </c>
      <c r="J9" s="555">
        <f>(H9+I9*2)/3</f>
        <v/>
      </c>
      <c r="K9" s="553" t="n">
        <v>8</v>
      </c>
      <c r="L9" s="556">
        <f>(2*J9+3*K9)/5</f>
        <v/>
      </c>
      <c r="M9" s="557" t="n">
        <v>6</v>
      </c>
      <c r="N9" s="558" t="n">
        <v>8</v>
      </c>
      <c r="O9" s="559">
        <f>(M9+N9*2)/3</f>
        <v/>
      </c>
      <c r="P9" s="557" t="n">
        <v>8</v>
      </c>
      <c r="Q9" s="560">
        <f>(2*O9+3*P9)/5</f>
        <v/>
      </c>
      <c r="R9" s="561" t="n">
        <v>6</v>
      </c>
      <c r="S9" s="561" t="n">
        <v>7</v>
      </c>
      <c r="T9" s="562">
        <f>(R9+S9)/2</f>
        <v/>
      </c>
      <c r="U9" s="562">
        <f>((G9+Q9+L9)+(2*T9))/5</f>
        <v/>
      </c>
      <c r="V9" s="561">
        <f>IF(U9&gt;=8.95," xuất sắc",IF(U9&gt;=7.95,"Giỏi",IF(U9&gt;=6.95,"Khá",IF(U9&gt;=5.95,"TB-khá",IF(U9&gt;=4.95,"Trung bình","yếu")))))</f>
        <v/>
      </c>
    </row>
    <row r="10" ht="16.5" customFormat="1" customHeight="1" s="546">
      <c r="A10" s="547" t="n">
        <v>7</v>
      </c>
      <c r="B10" s="548">
        <f>'Thông tin hoc sinh'!B9</f>
        <v/>
      </c>
      <c r="C10" s="549" t="n">
        <v>6</v>
      </c>
      <c r="D10" s="550" t="n">
        <v>8</v>
      </c>
      <c r="E10" s="551">
        <f>(C10+D10*2)/3</f>
        <v/>
      </c>
      <c r="F10" s="549" t="n">
        <v>6.5</v>
      </c>
      <c r="G10" s="552">
        <f>(2*E10+3*F10)/5</f>
        <v/>
      </c>
      <c r="H10" s="553" t="n">
        <v>6</v>
      </c>
      <c r="I10" s="554" t="n">
        <v>8</v>
      </c>
      <c r="J10" s="555">
        <f>(H10+I10*2)/3</f>
        <v/>
      </c>
      <c r="K10" s="553" t="n">
        <v>6.5</v>
      </c>
      <c r="L10" s="556">
        <f>(2*J10+3*K10)/5</f>
        <v/>
      </c>
      <c r="M10" s="557" t="n">
        <v>6</v>
      </c>
      <c r="N10" s="558" t="n">
        <v>8</v>
      </c>
      <c r="O10" s="559">
        <f>(M10+N10*2)/3</f>
        <v/>
      </c>
      <c r="P10" s="557" t="n">
        <v>6.5</v>
      </c>
      <c r="Q10" s="560">
        <f>(2*O10+3*P10)/5</f>
        <v/>
      </c>
      <c r="R10" s="561" t="n">
        <v>6</v>
      </c>
      <c r="S10" s="561" t="n">
        <v>7</v>
      </c>
      <c r="T10" s="562">
        <f>(R10+S10)/2</f>
        <v/>
      </c>
      <c r="U10" s="562">
        <f>((G10+Q10+L10)+(2*T10))/5</f>
        <v/>
      </c>
      <c r="V10" s="561">
        <f>IF(U10&gt;=8.95," xuất sắc",IF(U10&gt;=7.95,"Giỏi",IF(U10&gt;=6.95,"Khá",IF(U10&gt;=5.95,"TB-khá",IF(U10&gt;=4.95,"Trung bình","yếu")))))</f>
        <v/>
      </c>
    </row>
    <row r="11" ht="16.5" customFormat="1" customHeight="1" s="546">
      <c r="A11" s="547" t="n">
        <v>8</v>
      </c>
      <c r="B11" s="548">
        <f>'Thông tin hoc sinh'!B10</f>
        <v/>
      </c>
      <c r="C11" s="549" t="n">
        <v>7</v>
      </c>
      <c r="D11" s="550" t="n">
        <v>7</v>
      </c>
      <c r="E11" s="551">
        <f>(C11+D11*2)/3</f>
        <v/>
      </c>
      <c r="F11" s="549" t="n">
        <v>6.5</v>
      </c>
      <c r="G11" s="552">
        <f>(2*E11+3*F11)/5</f>
        <v/>
      </c>
      <c r="H11" s="553" t="n">
        <v>7</v>
      </c>
      <c r="I11" s="554" t="n">
        <v>7</v>
      </c>
      <c r="J11" s="555">
        <f>(H11+I11*2)/3</f>
        <v/>
      </c>
      <c r="K11" s="553" t="n">
        <v>6.5</v>
      </c>
      <c r="L11" s="556">
        <f>(2*J11+3*K11)/5</f>
        <v/>
      </c>
      <c r="M11" s="557" t="n">
        <v>7</v>
      </c>
      <c r="N11" s="558" t="n">
        <v>7</v>
      </c>
      <c r="O11" s="559">
        <f>(M11+N11*2)/3</f>
        <v/>
      </c>
      <c r="P11" s="557" t="n">
        <v>6.5</v>
      </c>
      <c r="Q11" s="560">
        <f>(2*O11+3*P11)/5</f>
        <v/>
      </c>
      <c r="R11" s="561" t="n">
        <v>6</v>
      </c>
      <c r="S11" s="561" t="n">
        <v>7</v>
      </c>
      <c r="T11" s="562">
        <f>(R11+S11)/2</f>
        <v/>
      </c>
      <c r="U11" s="562">
        <f>((G11+Q11+L11)+(2*T11))/5</f>
        <v/>
      </c>
      <c r="V11" s="561">
        <f>IF(U11&gt;=8.95," xuất sắc",IF(U11&gt;=7.95,"Giỏi",IF(U11&gt;=6.95,"Khá",IF(U11&gt;=5.95,"TB-khá",IF(U11&gt;=4.95,"Trung bình","yếu")))))</f>
        <v/>
      </c>
    </row>
    <row r="12" ht="16.5" customFormat="1" customHeight="1" s="546">
      <c r="A12" s="547" t="n">
        <v>9</v>
      </c>
      <c r="B12" s="548">
        <f>'Thông tin hoc sinh'!B11</f>
        <v/>
      </c>
      <c r="C12" s="549" t="n">
        <v>5</v>
      </c>
      <c r="D12" s="550" t="n">
        <v>6</v>
      </c>
      <c r="E12" s="551">
        <f>(C12+D12*2)/3</f>
        <v/>
      </c>
      <c r="F12" s="549" t="n">
        <v>7.5</v>
      </c>
      <c r="G12" s="552">
        <f>(2*E12+3*F12)/5</f>
        <v/>
      </c>
      <c r="H12" s="553" t="n">
        <v>5</v>
      </c>
      <c r="I12" s="554" t="n">
        <v>6</v>
      </c>
      <c r="J12" s="555">
        <f>(H12+I12*2)/3</f>
        <v/>
      </c>
      <c r="K12" s="553" t="n">
        <v>7.5</v>
      </c>
      <c r="L12" s="556">
        <f>(2*J12+3*K12)/5</f>
        <v/>
      </c>
      <c r="M12" s="557" t="n">
        <v>5</v>
      </c>
      <c r="N12" s="558" t="n">
        <v>6</v>
      </c>
      <c r="O12" s="559">
        <f>(M12+N12*2)/3</f>
        <v/>
      </c>
      <c r="P12" s="557" t="n">
        <v>7.5</v>
      </c>
      <c r="Q12" s="560">
        <f>(2*O12+3*P12)/5</f>
        <v/>
      </c>
      <c r="R12" s="561" t="n">
        <v>7</v>
      </c>
      <c r="S12" s="561" t="n">
        <v>6</v>
      </c>
      <c r="T12" s="562">
        <f>(R12+S12)/2</f>
        <v/>
      </c>
      <c r="U12" s="562">
        <f>((G12+Q12+L12)+(2*T12))/5</f>
        <v/>
      </c>
      <c r="V12" s="561">
        <f>IF(U12&gt;=8.95," xuất sắc",IF(U12&gt;=7.95,"Giỏi",IF(U12&gt;=6.95,"Khá",IF(U12&gt;=5.95,"TB-khá",IF(U12&gt;=4.95,"Trung bình","yếu")))))</f>
        <v/>
      </c>
    </row>
    <row r="13" ht="16.5" customFormat="1" customHeight="1" s="546">
      <c r="A13" s="547" t="n">
        <v>10</v>
      </c>
      <c r="B13" s="548">
        <f>'Thông tin hoc sinh'!B12</f>
        <v/>
      </c>
      <c r="C13" s="549" t="n">
        <v>7</v>
      </c>
      <c r="D13" s="550" t="n">
        <v>5</v>
      </c>
      <c r="E13" s="551">
        <f>(C13+D13*2)/3</f>
        <v/>
      </c>
      <c r="F13" s="549" t="n">
        <v>5.5</v>
      </c>
      <c r="G13" s="552">
        <f>(2*E13+3*F13)/5</f>
        <v/>
      </c>
      <c r="H13" s="553" t="n">
        <v>7</v>
      </c>
      <c r="I13" s="554" t="n">
        <v>5</v>
      </c>
      <c r="J13" s="555">
        <f>(H13+I13*2)/3</f>
        <v/>
      </c>
      <c r="K13" s="553" t="n">
        <v>5.5</v>
      </c>
      <c r="L13" s="556">
        <f>(2*J13+3*K13)/5</f>
        <v/>
      </c>
      <c r="M13" s="557" t="n">
        <v>7</v>
      </c>
      <c r="N13" s="558" t="n">
        <v>5</v>
      </c>
      <c r="O13" s="559">
        <f>(M13+N13*2)/3</f>
        <v/>
      </c>
      <c r="P13" s="557" t="n">
        <v>5.5</v>
      </c>
      <c r="Q13" s="560">
        <f>(2*O13+3*P13)/5</f>
        <v/>
      </c>
      <c r="R13" s="561" t="n">
        <v>6</v>
      </c>
      <c r="S13" s="561" t="n">
        <v>7</v>
      </c>
      <c r="T13" s="562">
        <f>(R13+S13)/2</f>
        <v/>
      </c>
      <c r="U13" s="562">
        <f>((G13+Q13+L13)+(2*T13))/5</f>
        <v/>
      </c>
      <c r="V13" s="561">
        <f>IF(U13&gt;=8.95," xuất sắc",IF(U13&gt;=7.95,"Giỏi",IF(U13&gt;=6.95,"Khá",IF(U13&gt;=5.95,"TB-khá",IF(U13&gt;=4.95,"Trung bình","yếu")))))</f>
        <v/>
      </c>
    </row>
    <row r="14" ht="16.5" customFormat="1" customHeight="1" s="546">
      <c r="A14" s="547" t="n">
        <v>11</v>
      </c>
      <c r="B14" s="548">
        <f>'Thông tin hoc sinh'!B13</f>
        <v/>
      </c>
      <c r="C14" s="549" t="n">
        <v>7</v>
      </c>
      <c r="D14" s="550" t="n">
        <v>7</v>
      </c>
      <c r="E14" s="551">
        <f>(C14+D14*2)/3</f>
        <v/>
      </c>
      <c r="F14" s="549" t="n">
        <v>8</v>
      </c>
      <c r="G14" s="552">
        <f>(2*E14+3*F14)/5</f>
        <v/>
      </c>
      <c r="H14" s="553" t="n">
        <v>7</v>
      </c>
      <c r="I14" s="554" t="n">
        <v>7</v>
      </c>
      <c r="J14" s="555">
        <f>(H14+I14*2)/3</f>
        <v/>
      </c>
      <c r="K14" s="553" t="n">
        <v>8</v>
      </c>
      <c r="L14" s="556">
        <f>(2*J14+3*K14)/5</f>
        <v/>
      </c>
      <c r="M14" s="557" t="n">
        <v>7</v>
      </c>
      <c r="N14" s="558" t="n">
        <v>7</v>
      </c>
      <c r="O14" s="559">
        <f>(M14+N14*2)/3</f>
        <v/>
      </c>
      <c r="P14" s="557" t="n">
        <v>8</v>
      </c>
      <c r="Q14" s="560">
        <f>(2*O14+3*P14)/5</f>
        <v/>
      </c>
      <c r="R14" s="561" t="n">
        <v>6</v>
      </c>
      <c r="S14" s="561" t="n">
        <v>7</v>
      </c>
      <c r="T14" s="562">
        <f>(R14+S14)/2</f>
        <v/>
      </c>
      <c r="U14" s="562">
        <f>((G14+Q14+L14)+(2*T14))/5</f>
        <v/>
      </c>
      <c r="V14" s="561">
        <f>IF(U14&gt;=8.95," xuất sắc",IF(U14&gt;=7.95,"Giỏi",IF(U14&gt;=6.95,"Khá",IF(U14&gt;=5.95,"TB-khá",IF(U14&gt;=4.95,"Trung bình","yếu")))))</f>
        <v/>
      </c>
    </row>
    <row r="15" ht="16.5" customFormat="1" customHeight="1" s="546">
      <c r="A15" s="547" t="n">
        <v>12</v>
      </c>
      <c r="B15" s="548">
        <f>'Thông tin hoc sinh'!B14</f>
        <v/>
      </c>
      <c r="C15" s="549" t="n">
        <v>8</v>
      </c>
      <c r="D15" s="550" t="n">
        <v>7</v>
      </c>
      <c r="E15" s="551">
        <f>(C15+D15*2)/3</f>
        <v/>
      </c>
      <c r="F15" s="549" t="n">
        <v>7.5</v>
      </c>
      <c r="G15" s="552">
        <f>(2*E15+3*F15)/5</f>
        <v/>
      </c>
      <c r="H15" s="553" t="n">
        <v>8</v>
      </c>
      <c r="I15" s="554" t="n">
        <v>7</v>
      </c>
      <c r="J15" s="555">
        <f>(H15+I15*2)/3</f>
        <v/>
      </c>
      <c r="K15" s="553" t="n">
        <v>7.5</v>
      </c>
      <c r="L15" s="556">
        <f>(2*J15+3*K15)/5</f>
        <v/>
      </c>
      <c r="M15" s="557" t="n">
        <v>8</v>
      </c>
      <c r="N15" s="558" t="n">
        <v>7</v>
      </c>
      <c r="O15" s="559">
        <f>(M15+N15*2)/3</f>
        <v/>
      </c>
      <c r="P15" s="557" t="n">
        <v>7.5</v>
      </c>
      <c r="Q15" s="560">
        <f>(2*O15+3*P15)/5</f>
        <v/>
      </c>
      <c r="R15" s="561" t="n">
        <v>6</v>
      </c>
      <c r="S15" s="561" t="n">
        <v>7</v>
      </c>
      <c r="T15" s="562">
        <f>(R15+S15)/2</f>
        <v/>
      </c>
      <c r="U15" s="562">
        <f>((G15+Q15+L15)+(2*T15))/5</f>
        <v/>
      </c>
      <c r="V15" s="561">
        <f>IF(U15&gt;=8.95," xuất sắc",IF(U15&gt;=7.95,"Giỏi",IF(U15&gt;=6.95,"Khá",IF(U15&gt;=5.95,"TB-khá",IF(U15&gt;=4.95,"Trung bình","yếu")))))</f>
        <v/>
      </c>
    </row>
    <row r="16" ht="16.5" customFormat="1" customHeight="1" s="546">
      <c r="A16" s="547" t="n">
        <v>13</v>
      </c>
      <c r="B16" s="548">
        <f>'Thông tin hoc sinh'!B15</f>
        <v/>
      </c>
      <c r="C16" s="549" t="n">
        <v>8</v>
      </c>
      <c r="D16" s="550" t="n">
        <v>6</v>
      </c>
      <c r="E16" s="551">
        <f>(C16+D16*2)/3</f>
        <v/>
      </c>
      <c r="F16" s="549" t="n">
        <v>8.5</v>
      </c>
      <c r="G16" s="552">
        <f>(2*E16+3*F16)/5</f>
        <v/>
      </c>
      <c r="H16" s="553" t="n">
        <v>8</v>
      </c>
      <c r="I16" s="554" t="n">
        <v>6</v>
      </c>
      <c r="J16" s="555">
        <f>(H16+I16*2)/3</f>
        <v/>
      </c>
      <c r="K16" s="553" t="n">
        <v>8.5</v>
      </c>
      <c r="L16" s="556">
        <f>(2*J16+3*K16)/5</f>
        <v/>
      </c>
      <c r="M16" s="557" t="n">
        <v>8</v>
      </c>
      <c r="N16" s="558" t="n">
        <v>6</v>
      </c>
      <c r="O16" s="559">
        <f>(M16+N16*2)/3</f>
        <v/>
      </c>
      <c r="P16" s="557" t="n">
        <v>8.5</v>
      </c>
      <c r="Q16" s="560">
        <f>(2*O16+3*P16)/5</f>
        <v/>
      </c>
      <c r="R16" s="561" t="n">
        <v>8</v>
      </c>
      <c r="S16" s="561" t="n">
        <v>9</v>
      </c>
      <c r="T16" s="562">
        <f>(R16+S16)/2</f>
        <v/>
      </c>
      <c r="U16" s="562">
        <f>((G16+Q16+L16)+(2*T16))/5</f>
        <v/>
      </c>
      <c r="V16" s="561">
        <f>IF(U16&gt;=8.95," xuất sắc",IF(U16&gt;=7.95,"Giỏi",IF(U16&gt;=6.95,"Khá",IF(U16&gt;=5.95,"TB-khá",IF(U16&gt;=4.95,"Trung bình","yếu")))))</f>
        <v/>
      </c>
    </row>
    <row r="17" ht="16.5" customFormat="1" customHeight="1" s="546">
      <c r="A17" s="547" t="n">
        <v>14</v>
      </c>
      <c r="B17" s="548">
        <f>'Thông tin hoc sinh'!B16</f>
        <v/>
      </c>
      <c r="C17" s="549" t="n">
        <v>7</v>
      </c>
      <c r="D17" s="550" t="n">
        <v>7</v>
      </c>
      <c r="E17" s="551">
        <f>(C17+D17*2)/3</f>
        <v/>
      </c>
      <c r="F17" s="549" t="n">
        <v>7.5</v>
      </c>
      <c r="G17" s="552">
        <f>(2*E17+3*F17)/5</f>
        <v/>
      </c>
      <c r="H17" s="553" t="n">
        <v>7</v>
      </c>
      <c r="I17" s="554" t="n">
        <v>7</v>
      </c>
      <c r="J17" s="555">
        <f>(H17+I17*2)/3</f>
        <v/>
      </c>
      <c r="K17" s="553" t="n">
        <v>7.5</v>
      </c>
      <c r="L17" s="556">
        <f>(2*J17+3*K17)/5</f>
        <v/>
      </c>
      <c r="M17" s="557" t="n">
        <v>7</v>
      </c>
      <c r="N17" s="558" t="n">
        <v>7</v>
      </c>
      <c r="O17" s="559">
        <f>(M17+N17*2)/3</f>
        <v/>
      </c>
      <c r="P17" s="557" t="n">
        <v>7.5</v>
      </c>
      <c r="Q17" s="560">
        <f>(2*O17+3*P17)/5</f>
        <v/>
      </c>
      <c r="R17" s="561" t="n">
        <v>6</v>
      </c>
      <c r="S17" s="561" t="n">
        <v>7</v>
      </c>
      <c r="T17" s="562">
        <f>(R17+S17)/2</f>
        <v/>
      </c>
      <c r="U17" s="562">
        <f>((G17+Q17+L17)+(2*T17))/5</f>
        <v/>
      </c>
      <c r="V17" s="561">
        <f>IF(U17&gt;=8.95," xuất sắc",IF(U17&gt;=7.95,"Giỏi",IF(U17&gt;=6.95,"Khá",IF(U17&gt;=5.95,"TB-khá",IF(U17&gt;=4.95,"Trung bình","yếu")))))</f>
        <v/>
      </c>
    </row>
    <row r="18" ht="16.5" customFormat="1" customHeight="1" s="546">
      <c r="A18" s="547" t="n">
        <v>15</v>
      </c>
      <c r="B18" s="548">
        <f>'Thông tin hoc sinh'!B17</f>
        <v/>
      </c>
      <c r="C18" s="549" t="n">
        <v>7</v>
      </c>
      <c r="D18" s="550" t="n">
        <v>7</v>
      </c>
      <c r="E18" s="551">
        <f>(C18+D18*2)/3</f>
        <v/>
      </c>
      <c r="F18" s="549" t="n">
        <v>6.5</v>
      </c>
      <c r="G18" s="552">
        <f>(2*E18+3*F18)/5</f>
        <v/>
      </c>
      <c r="H18" s="553" t="n">
        <v>7</v>
      </c>
      <c r="I18" s="554" t="n">
        <v>7</v>
      </c>
      <c r="J18" s="555">
        <f>(H18+I18*2)/3</f>
        <v/>
      </c>
      <c r="K18" s="553" t="n">
        <v>6.5</v>
      </c>
      <c r="L18" s="556">
        <f>(2*J18+3*K18)/5</f>
        <v/>
      </c>
      <c r="M18" s="557" t="n">
        <v>7</v>
      </c>
      <c r="N18" s="558" t="n">
        <v>7</v>
      </c>
      <c r="O18" s="559">
        <f>(M18+N18*2)/3</f>
        <v/>
      </c>
      <c r="P18" s="557" t="n">
        <v>6.5</v>
      </c>
      <c r="Q18" s="560">
        <f>(2*O18+3*P18)/5</f>
        <v/>
      </c>
      <c r="R18" s="561" t="n">
        <v>7</v>
      </c>
      <c r="S18" s="561" t="n">
        <v>7</v>
      </c>
      <c r="T18" s="562">
        <f>(R18+S18)/2</f>
        <v/>
      </c>
      <c r="U18" s="562">
        <f>((G18+Q18+L18)+(2*T18))/5</f>
        <v/>
      </c>
      <c r="V18" s="561">
        <f>IF(U18&gt;=8.95," xuất sắc",IF(U18&gt;=7.95,"Giỏi",IF(U18&gt;=6.95,"Khá",IF(U18&gt;=5.95,"TB-khá",IF(U18&gt;=4.95,"Trung bình","yếu")))))</f>
        <v/>
      </c>
    </row>
    <row r="19" ht="16.5" customFormat="1" customHeight="1" s="546">
      <c r="A19" s="547" t="n">
        <v>16</v>
      </c>
      <c r="B19" s="548">
        <f>'Thông tin hoc sinh'!B18</f>
        <v/>
      </c>
      <c r="C19" s="549" t="n">
        <v>7</v>
      </c>
      <c r="D19" s="550" t="n">
        <v>7</v>
      </c>
      <c r="E19" s="551">
        <f>(C19+D19*2)/3</f>
        <v/>
      </c>
      <c r="F19" s="549" t="n">
        <v>8.5</v>
      </c>
      <c r="G19" s="552">
        <f>(2*E19+3*F19)/5</f>
        <v/>
      </c>
      <c r="H19" s="553" t="n">
        <v>7</v>
      </c>
      <c r="I19" s="554" t="n">
        <v>7</v>
      </c>
      <c r="J19" s="555">
        <f>(H19+I19*2)/3</f>
        <v/>
      </c>
      <c r="K19" s="553" t="n">
        <v>8.5</v>
      </c>
      <c r="L19" s="556">
        <f>(2*J19+3*K19)/5</f>
        <v/>
      </c>
      <c r="M19" s="557" t="n">
        <v>7</v>
      </c>
      <c r="N19" s="558" t="n">
        <v>7</v>
      </c>
      <c r="O19" s="559">
        <f>(M19+N19*2)/3</f>
        <v/>
      </c>
      <c r="P19" s="557" t="n">
        <v>8.5</v>
      </c>
      <c r="Q19" s="560">
        <f>(2*O19+3*P19)/5</f>
        <v/>
      </c>
      <c r="R19" s="561" t="n">
        <v>6</v>
      </c>
      <c r="S19" s="561" t="n">
        <v>5</v>
      </c>
      <c r="T19" s="562">
        <f>(R19+S19)/2</f>
        <v/>
      </c>
      <c r="U19" s="562">
        <f>((G19+Q19+L19)+(2*T19))/5</f>
        <v/>
      </c>
      <c r="V19" s="561">
        <f>IF(U19&gt;=8.95," xuất sắc",IF(U19&gt;=7.95,"Giỏi",IF(U19&gt;=6.95,"Khá",IF(U19&gt;=5.95,"TB-khá",IF(U19&gt;=4.95,"Trung bình","yếu")))))</f>
        <v/>
      </c>
    </row>
    <row r="20" ht="16.5" customFormat="1" customHeight="1" s="546">
      <c r="A20" s="547" t="n">
        <v>17</v>
      </c>
      <c r="B20" s="548">
        <f>'Thông tin hoc sinh'!B19</f>
        <v/>
      </c>
      <c r="C20" s="563" t="n">
        <v>7</v>
      </c>
      <c r="D20" s="550" t="n">
        <v>7</v>
      </c>
      <c r="E20" s="551">
        <f>(C20+D20*2)/3</f>
        <v/>
      </c>
      <c r="F20" s="549" t="n">
        <v>8</v>
      </c>
      <c r="G20" s="552">
        <f>(2*E20+3*F20)/5</f>
        <v/>
      </c>
      <c r="H20" s="564" t="n">
        <v>7</v>
      </c>
      <c r="I20" s="554" t="n">
        <v>7</v>
      </c>
      <c r="J20" s="555">
        <f>(H20+I20*2)/3</f>
        <v/>
      </c>
      <c r="K20" s="553" t="n">
        <v>8</v>
      </c>
      <c r="L20" s="556">
        <f>(2*J20+3*K20)/5</f>
        <v/>
      </c>
      <c r="M20" s="565" t="n">
        <v>7</v>
      </c>
      <c r="N20" s="558" t="n">
        <v>7</v>
      </c>
      <c r="O20" s="559">
        <f>(M20+N20*2)/3</f>
        <v/>
      </c>
      <c r="P20" s="557" t="n">
        <v>8</v>
      </c>
      <c r="Q20" s="560">
        <f>(2*O20+3*P20)/5</f>
        <v/>
      </c>
      <c r="R20" s="561" t="n">
        <v>7</v>
      </c>
      <c r="S20" s="561" t="n">
        <v>6</v>
      </c>
      <c r="T20" s="562">
        <f>(R20+S20)/2</f>
        <v/>
      </c>
      <c r="U20" s="562">
        <f>((G20+Q20+L20)+(2*T20))/5</f>
        <v/>
      </c>
      <c r="V20" s="561">
        <f>IF(U20&gt;=8.95," xuất sắc",IF(U20&gt;=7.95,"Giỏi",IF(U20&gt;=6.95,"Khá",IF(U20&gt;=5.95,"TB-khá",IF(U20&gt;=4.95,"Trung bình","yếu")))))</f>
        <v/>
      </c>
    </row>
    <row r="21" ht="16.5" customFormat="1" customHeight="1" s="546">
      <c r="A21" s="547" t="n">
        <v>18</v>
      </c>
      <c r="B21" s="548">
        <f>'Thông tin hoc sinh'!B20</f>
        <v/>
      </c>
      <c r="C21" s="549" t="n">
        <v>7</v>
      </c>
      <c r="D21" s="550" t="n">
        <v>7</v>
      </c>
      <c r="E21" s="551">
        <f>(C21+D21*2)/3</f>
        <v/>
      </c>
      <c r="F21" s="549" t="n">
        <v>5.5</v>
      </c>
      <c r="G21" s="552">
        <f>(2*E21+3*F21)/5</f>
        <v/>
      </c>
      <c r="H21" s="553" t="n">
        <v>7</v>
      </c>
      <c r="I21" s="554" t="n">
        <v>7</v>
      </c>
      <c r="J21" s="555">
        <f>(H21+I21*2)/3</f>
        <v/>
      </c>
      <c r="K21" s="553" t="n">
        <v>5.5</v>
      </c>
      <c r="L21" s="556">
        <f>(2*J21+3*K21)/5</f>
        <v/>
      </c>
      <c r="M21" s="557" t="n">
        <v>7</v>
      </c>
      <c r="N21" s="558" t="n">
        <v>7</v>
      </c>
      <c r="O21" s="559">
        <f>(M21+N21*2)/3</f>
        <v/>
      </c>
      <c r="P21" s="557" t="n">
        <v>5.5</v>
      </c>
      <c r="Q21" s="560">
        <f>(2*O21+3*P21)/5</f>
        <v/>
      </c>
      <c r="R21" s="561" t="n">
        <v>6</v>
      </c>
      <c r="S21" s="561" t="n">
        <v>7</v>
      </c>
      <c r="T21" s="562">
        <f>(R21+S21)/2</f>
        <v/>
      </c>
      <c r="U21" s="562">
        <f>((G21+Q21+L21)+(2*T21))/5</f>
        <v/>
      </c>
      <c r="V21" s="561">
        <f>IF(U21&gt;=8.95," xuất sắc",IF(U21&gt;=7.95,"Giỏi",IF(U21&gt;=6.95,"Khá",IF(U21&gt;=5.95,"TB-khá",IF(U21&gt;=4.95,"Trung bình","yếu")))))</f>
        <v/>
      </c>
    </row>
    <row r="22" ht="16.5" customFormat="1" customHeight="1" s="546">
      <c r="A22" s="547" t="n">
        <v>19</v>
      </c>
      <c r="B22" s="548">
        <f>'Thông tin hoc sinh'!B21</f>
        <v/>
      </c>
      <c r="C22" s="563" t="n">
        <v>7</v>
      </c>
      <c r="D22" s="550" t="n">
        <v>7</v>
      </c>
      <c r="E22" s="551">
        <f>(C22+D22*2)/3</f>
        <v/>
      </c>
      <c r="F22" s="549" t="n">
        <v>8.5</v>
      </c>
      <c r="G22" s="552">
        <f>(2*E22+3*F22)/5</f>
        <v/>
      </c>
      <c r="H22" s="564" t="n">
        <v>7</v>
      </c>
      <c r="I22" s="554" t="n">
        <v>7</v>
      </c>
      <c r="J22" s="555">
        <f>(H22+I22*2)/3</f>
        <v/>
      </c>
      <c r="K22" s="553" t="n">
        <v>8.5</v>
      </c>
      <c r="L22" s="556">
        <f>(2*J22+3*K22)/5</f>
        <v/>
      </c>
      <c r="M22" s="565" t="n">
        <v>7</v>
      </c>
      <c r="N22" s="558" t="n">
        <v>7</v>
      </c>
      <c r="O22" s="559">
        <f>(M22+N22*2)/3</f>
        <v/>
      </c>
      <c r="P22" s="557" t="n">
        <v>8.5</v>
      </c>
      <c r="Q22" s="560">
        <f>(2*O22+3*P22)/5</f>
        <v/>
      </c>
      <c r="R22" s="561" t="n">
        <v>6</v>
      </c>
      <c r="S22" s="561" t="n">
        <v>6</v>
      </c>
      <c r="T22" s="562">
        <f>(R22+S22)/2</f>
        <v/>
      </c>
      <c r="U22" s="562">
        <f>((G22+Q22+L22)+(2*T22))/5</f>
        <v/>
      </c>
      <c r="V22" s="561">
        <f>IF(U22&gt;=8.95," xuất sắc",IF(U22&gt;=7.95,"Giỏi",IF(U22&gt;=6.95,"Khá",IF(U22&gt;=5.95,"TB-khá",IF(U22&gt;=4.95,"Trung bình","yếu")))))</f>
        <v/>
      </c>
    </row>
    <row r="23" ht="16.5" customFormat="1" customHeight="1" s="546">
      <c r="A23" s="547" t="n">
        <v>20</v>
      </c>
      <c r="B23" s="548">
        <f>'Thông tin hoc sinh'!B22</f>
        <v/>
      </c>
      <c r="C23" s="563" t="n">
        <v>7</v>
      </c>
      <c r="D23" s="550" t="n">
        <v>7</v>
      </c>
      <c r="E23" s="551">
        <f>(C23+D23*2)/3</f>
        <v/>
      </c>
      <c r="F23" s="549" t="n">
        <v>7.5</v>
      </c>
      <c r="G23" s="552">
        <f>(2*E23+3*F23)/5</f>
        <v/>
      </c>
      <c r="H23" s="564" t="n">
        <v>7</v>
      </c>
      <c r="I23" s="554" t="n">
        <v>7</v>
      </c>
      <c r="J23" s="555">
        <f>(H23+I23*2)/3</f>
        <v/>
      </c>
      <c r="K23" s="553" t="n">
        <v>7.5</v>
      </c>
      <c r="L23" s="556">
        <f>(2*J23+3*K23)/5</f>
        <v/>
      </c>
      <c r="M23" s="565" t="n">
        <v>7</v>
      </c>
      <c r="N23" s="558" t="n">
        <v>7</v>
      </c>
      <c r="O23" s="559">
        <f>(M23+N23*2)/3</f>
        <v/>
      </c>
      <c r="P23" s="557" t="n">
        <v>7.5</v>
      </c>
      <c r="Q23" s="560">
        <f>(2*O23+3*P23)/5</f>
        <v/>
      </c>
      <c r="R23" s="561" t="n">
        <v>7</v>
      </c>
      <c r="S23" s="561" t="n">
        <v>7</v>
      </c>
      <c r="T23" s="562">
        <f>(R23+S23)/2</f>
        <v/>
      </c>
      <c r="U23" s="562">
        <f>((G23+Q23+L23)+(2*T23))/5</f>
        <v/>
      </c>
      <c r="V23" s="561">
        <f>IF(U23&gt;=8.95," xuất sắc",IF(U23&gt;=7.95,"Giỏi",IF(U23&gt;=6.95,"Khá",IF(U23&gt;=5.95,"TB-khá",IF(U23&gt;=4.95,"Trung bình","yếu")))))</f>
        <v/>
      </c>
    </row>
    <row r="24" ht="16.5" customFormat="1" customHeight="1" s="546">
      <c r="A24" s="547" t="n">
        <v>21</v>
      </c>
      <c r="B24" s="548">
        <f>'Thông tin hoc sinh'!B23</f>
        <v/>
      </c>
      <c r="C24" s="549" t="n">
        <v>6</v>
      </c>
      <c r="D24" s="550" t="n">
        <v>7</v>
      </c>
      <c r="E24" s="551">
        <f>(C24+D24*2)/3</f>
        <v/>
      </c>
      <c r="F24" s="549" t="n">
        <v>5.5</v>
      </c>
      <c r="G24" s="552">
        <f>(2*E24+3*F24)/5</f>
        <v/>
      </c>
      <c r="H24" s="553" t="n">
        <v>6</v>
      </c>
      <c r="I24" s="554" t="n">
        <v>7</v>
      </c>
      <c r="J24" s="555">
        <f>(H24+I24*2)/3</f>
        <v/>
      </c>
      <c r="K24" s="553" t="n">
        <v>5.5</v>
      </c>
      <c r="L24" s="556">
        <f>(2*J24+3*K24)/5</f>
        <v/>
      </c>
      <c r="M24" s="557" t="n">
        <v>6</v>
      </c>
      <c r="N24" s="558" t="n">
        <v>7</v>
      </c>
      <c r="O24" s="559">
        <f>(M24+N24*2)/3</f>
        <v/>
      </c>
      <c r="P24" s="557" t="n">
        <v>5.5</v>
      </c>
      <c r="Q24" s="560">
        <f>(2*O24+3*P24)/5</f>
        <v/>
      </c>
      <c r="R24" s="561" t="n">
        <v>7</v>
      </c>
      <c r="S24" s="561" t="n">
        <v>6</v>
      </c>
      <c r="T24" s="562">
        <f>(R24+S24)/2</f>
        <v/>
      </c>
      <c r="U24" s="562">
        <f>((G24+Q24+L24)+(2*T24))/5</f>
        <v/>
      </c>
      <c r="V24" s="561">
        <f>IF(U24&gt;=8.95," xuất sắc",IF(U24&gt;=7.95,"Giỏi",IF(U24&gt;=6.95,"Khá",IF(U24&gt;=5.95,"TB-khá",IF(U24&gt;=4.95,"Trung bình","yếu")))))</f>
        <v/>
      </c>
    </row>
    <row r="25" ht="16.5" customFormat="1" customHeight="1" s="546">
      <c r="A25" s="547" t="n">
        <v>22</v>
      </c>
      <c r="B25" s="548">
        <f>'Thông tin hoc sinh'!B24</f>
        <v/>
      </c>
      <c r="C25" s="549" t="n">
        <v>7</v>
      </c>
      <c r="D25" s="550" t="n">
        <v>8</v>
      </c>
      <c r="E25" s="551">
        <f>(C25+D25*2)/3</f>
        <v/>
      </c>
      <c r="F25" s="549" t="n">
        <v>6.5</v>
      </c>
      <c r="G25" s="552">
        <f>(2*E25+3*F25)/5</f>
        <v/>
      </c>
      <c r="H25" s="553" t="n">
        <v>7</v>
      </c>
      <c r="I25" s="554" t="n">
        <v>8</v>
      </c>
      <c r="J25" s="555">
        <f>(H25+I25*2)/3</f>
        <v/>
      </c>
      <c r="K25" s="553" t="n">
        <v>6.5</v>
      </c>
      <c r="L25" s="556">
        <f>(2*J25+3*K25)/5</f>
        <v/>
      </c>
      <c r="M25" s="557" t="n">
        <v>7</v>
      </c>
      <c r="N25" s="558" t="n">
        <v>8</v>
      </c>
      <c r="O25" s="559">
        <f>(M25+N25*2)/3</f>
        <v/>
      </c>
      <c r="P25" s="557" t="n">
        <v>6.5</v>
      </c>
      <c r="Q25" s="560">
        <f>(2*O25+3*P25)/5</f>
        <v/>
      </c>
      <c r="R25" s="561" t="n">
        <v>6</v>
      </c>
      <c r="S25" s="561" t="n">
        <v>7</v>
      </c>
      <c r="T25" s="562">
        <f>(R25+S25)/2</f>
        <v/>
      </c>
      <c r="U25" s="562">
        <f>((G25+Q25+L25)+(2*T25))/5</f>
        <v/>
      </c>
      <c r="V25" s="561">
        <f>IF(U25&gt;=8.95," xuất sắc",IF(U25&gt;=7.95,"Giỏi",IF(U25&gt;=6.95,"Khá",IF(U25&gt;=5.95,"TB-khá",IF(U25&gt;=4.95,"Trung bình","yếu")))))</f>
        <v/>
      </c>
    </row>
    <row r="26" ht="16.5" customFormat="1" customHeight="1" s="546">
      <c r="A26" s="547" t="n">
        <v>23</v>
      </c>
      <c r="B26" s="548">
        <f>'Thông tin hoc sinh'!B25</f>
        <v/>
      </c>
      <c r="C26" s="549" t="n">
        <v>7</v>
      </c>
      <c r="D26" s="550" t="n">
        <v>8</v>
      </c>
      <c r="E26" s="551">
        <f>(C26+D26*2)/3</f>
        <v/>
      </c>
      <c r="F26" s="549" t="n">
        <v>8</v>
      </c>
      <c r="G26" s="552">
        <f>(2*E26+3*F26)/5</f>
        <v/>
      </c>
      <c r="H26" s="553" t="n">
        <v>7</v>
      </c>
      <c r="I26" s="554" t="n">
        <v>8</v>
      </c>
      <c r="J26" s="555">
        <f>(H26+I26*2)/3</f>
        <v/>
      </c>
      <c r="K26" s="553" t="n">
        <v>8</v>
      </c>
      <c r="L26" s="556">
        <f>(2*J26+3*K26)/5</f>
        <v/>
      </c>
      <c r="M26" s="557" t="n">
        <v>7</v>
      </c>
      <c r="N26" s="558" t="n">
        <v>8</v>
      </c>
      <c r="O26" s="559">
        <f>(M26+N26*2)/3</f>
        <v/>
      </c>
      <c r="P26" s="557" t="n">
        <v>8</v>
      </c>
      <c r="Q26" s="560">
        <f>(2*O26+3*P26)/5</f>
        <v/>
      </c>
      <c r="R26" s="561" t="n">
        <v>6</v>
      </c>
      <c r="S26" s="561" t="n">
        <v>7</v>
      </c>
      <c r="T26" s="562">
        <f>(R26+S26)/2</f>
        <v/>
      </c>
      <c r="U26" s="562">
        <f>((G26+Q26+L26)+(2*T26))/5</f>
        <v/>
      </c>
      <c r="V26" s="561">
        <f>IF(U26&gt;=8.95," xuất sắc",IF(U26&gt;=7.95,"Giỏi",IF(U26&gt;=6.95,"Khá",IF(U26&gt;=5.95,"TB-khá",IF(U26&gt;=4.95,"Trung bình","yếu")))))</f>
        <v/>
      </c>
    </row>
    <row r="27" ht="16.5" customFormat="1" customHeight="1" s="546">
      <c r="A27" s="547" t="n">
        <v>24</v>
      </c>
      <c r="B27" s="548">
        <f>'Thông tin hoc sinh'!B26</f>
        <v/>
      </c>
      <c r="C27" s="563" t="n">
        <v>5</v>
      </c>
      <c r="D27" s="550" t="n">
        <v>7</v>
      </c>
      <c r="E27" s="551">
        <f>(C27+D27*2)/3</f>
        <v/>
      </c>
      <c r="F27" s="549" t="n">
        <v>9.5</v>
      </c>
      <c r="G27" s="552">
        <f>(2*E27+3*F27)/5</f>
        <v/>
      </c>
      <c r="H27" s="564" t="n">
        <v>5</v>
      </c>
      <c r="I27" s="554" t="n">
        <v>7</v>
      </c>
      <c r="J27" s="555">
        <f>(H27+I27*2)/3</f>
        <v/>
      </c>
      <c r="K27" s="553" t="n">
        <v>9.5</v>
      </c>
      <c r="L27" s="556">
        <f>(2*J27+3*K27)/5</f>
        <v/>
      </c>
      <c r="M27" s="565" t="n">
        <v>5</v>
      </c>
      <c r="N27" s="558" t="n">
        <v>7</v>
      </c>
      <c r="O27" s="559">
        <f>(M27+N27*2)/3</f>
        <v/>
      </c>
      <c r="P27" s="557" t="n">
        <v>9.5</v>
      </c>
      <c r="Q27" s="560">
        <f>(2*O27+3*P27)/5</f>
        <v/>
      </c>
      <c r="R27" s="561" t="n">
        <v>6</v>
      </c>
      <c r="S27" s="561" t="n">
        <v>7</v>
      </c>
      <c r="T27" s="562">
        <f>(R27+S27)/2</f>
        <v/>
      </c>
      <c r="U27" s="562">
        <f>((G27+Q27+L27)+(2*T27))/5</f>
        <v/>
      </c>
      <c r="V27" s="561">
        <f>IF(U27&gt;=8.95," xuất sắc",IF(U27&gt;=7.95,"Giỏi",IF(U27&gt;=6.95,"Khá",IF(U27&gt;=5.95,"TB-khá",IF(U27&gt;=4.95,"Trung bình","yếu")))))</f>
        <v/>
      </c>
    </row>
    <row r="28" ht="16.5" customFormat="1" customHeight="1" s="546">
      <c r="A28" s="547" t="n">
        <v>25</v>
      </c>
      <c r="B28" s="548">
        <f>'Thông tin hoc sinh'!B27</f>
        <v/>
      </c>
      <c r="C28" s="563" t="n">
        <v>6</v>
      </c>
      <c r="D28" s="550" t="n">
        <v>7</v>
      </c>
      <c r="E28" s="551">
        <f>(C28+D28*2)/3</f>
        <v/>
      </c>
      <c r="F28" s="549" t="n">
        <v>6</v>
      </c>
      <c r="G28" s="552">
        <f>(2*E28+3*F28)/5</f>
        <v/>
      </c>
      <c r="H28" s="564" t="n">
        <v>6</v>
      </c>
      <c r="I28" s="554" t="n">
        <v>7</v>
      </c>
      <c r="J28" s="555">
        <f>(H28+I28*2)/3</f>
        <v/>
      </c>
      <c r="K28" s="553" t="n">
        <v>6</v>
      </c>
      <c r="L28" s="556">
        <f>(2*J28+3*K28)/5</f>
        <v/>
      </c>
      <c r="M28" s="565" t="n">
        <v>6</v>
      </c>
      <c r="N28" s="558" t="n">
        <v>7</v>
      </c>
      <c r="O28" s="559">
        <f>(M28+N28*2)/3</f>
        <v/>
      </c>
      <c r="P28" s="557" t="n">
        <v>6</v>
      </c>
      <c r="Q28" s="560">
        <f>(2*O28+3*P28)/5</f>
        <v/>
      </c>
      <c r="R28" s="561" t="n">
        <v>6</v>
      </c>
      <c r="S28" s="561" t="n">
        <v>7</v>
      </c>
      <c r="T28" s="562">
        <f>(R28+S28)/2</f>
        <v/>
      </c>
      <c r="U28" s="562">
        <f>((G28+Q28+L28)+(2*T28))/5</f>
        <v/>
      </c>
      <c r="V28" s="561">
        <f>IF(U28&gt;=8.95," xuất sắc",IF(U28&gt;=7.95,"Giỏi",IF(U28&gt;=6.95,"Khá",IF(U28&gt;=5.95,"TB-khá",IF(U28&gt;=4.95,"Trung bình","yếu")))))</f>
        <v/>
      </c>
    </row>
    <row r="29" ht="16.5" customFormat="1" customHeight="1" s="546">
      <c r="A29" s="547" t="n">
        <v>26</v>
      </c>
      <c r="B29" s="548">
        <f>'Thông tin hoc sinh'!B28</f>
        <v/>
      </c>
      <c r="C29" s="549" t="n">
        <v>6</v>
      </c>
      <c r="D29" s="550" t="n">
        <v>7</v>
      </c>
      <c r="E29" s="551">
        <f>(C29+D29*2)/3</f>
        <v/>
      </c>
      <c r="F29" s="549" t="n">
        <v>7.5</v>
      </c>
      <c r="G29" s="552">
        <f>(2*E29+3*F29)/5</f>
        <v/>
      </c>
      <c r="H29" s="553" t="n">
        <v>6</v>
      </c>
      <c r="I29" s="554" t="n">
        <v>7</v>
      </c>
      <c r="J29" s="555">
        <f>(H29+I29*2)/3</f>
        <v/>
      </c>
      <c r="K29" s="553" t="n">
        <v>7.5</v>
      </c>
      <c r="L29" s="556">
        <f>(2*J29+3*K29)/5</f>
        <v/>
      </c>
      <c r="M29" s="557" t="n">
        <v>6</v>
      </c>
      <c r="N29" s="558" t="n">
        <v>7</v>
      </c>
      <c r="O29" s="559">
        <f>(M29+N29*2)/3</f>
        <v/>
      </c>
      <c r="P29" s="557" t="n">
        <v>7.5</v>
      </c>
      <c r="Q29" s="560">
        <f>(2*O29+3*P29)/5</f>
        <v/>
      </c>
      <c r="R29" s="561" t="n">
        <v>6</v>
      </c>
      <c r="S29" s="561" t="n">
        <v>7</v>
      </c>
      <c r="T29" s="562">
        <f>(R29+S29)/2</f>
        <v/>
      </c>
      <c r="U29" s="562">
        <f>((G29+Q29+L29)+(2*T29))/5</f>
        <v/>
      </c>
      <c r="V29" s="561">
        <f>IF(U29&gt;=8.95," xuất sắc",IF(U29&gt;=7.95,"Giỏi",IF(U29&gt;=6.95,"Khá",IF(U29&gt;=5.95,"TB-khá",IF(U29&gt;=4.95,"Trung bình","yếu")))))</f>
        <v/>
      </c>
    </row>
    <row r="30" ht="16.5" customFormat="1" customHeight="1" s="546">
      <c r="A30" s="547" t="n">
        <v>27</v>
      </c>
      <c r="B30" s="548">
        <f>'Thông tin hoc sinh'!B29</f>
        <v/>
      </c>
      <c r="C30" s="549" t="n">
        <v>6</v>
      </c>
      <c r="D30" s="550" t="n">
        <v>6</v>
      </c>
      <c r="E30" s="551">
        <f>(C30+D30*2)/3</f>
        <v/>
      </c>
      <c r="F30" s="549" t="n">
        <v>8</v>
      </c>
      <c r="G30" s="552">
        <f>(2*E30+3*F30)/5</f>
        <v/>
      </c>
      <c r="H30" s="553" t="n">
        <v>6</v>
      </c>
      <c r="I30" s="554" t="n">
        <v>6</v>
      </c>
      <c r="J30" s="555">
        <f>(H30+I30*2)/3</f>
        <v/>
      </c>
      <c r="K30" s="553" t="n">
        <v>8</v>
      </c>
      <c r="L30" s="556">
        <f>(2*J30+3*K30)/5</f>
        <v/>
      </c>
      <c r="M30" s="557" t="n">
        <v>6</v>
      </c>
      <c r="N30" s="558" t="n">
        <v>6</v>
      </c>
      <c r="O30" s="559">
        <f>(M30+N30*2)/3</f>
        <v/>
      </c>
      <c r="P30" s="557" t="n">
        <v>8</v>
      </c>
      <c r="Q30" s="560">
        <f>(2*O30+3*P30)/5</f>
        <v/>
      </c>
      <c r="R30" s="561" t="n">
        <v>6</v>
      </c>
      <c r="S30" s="561" t="n">
        <v>7</v>
      </c>
      <c r="T30" s="562">
        <f>(R30+S30)/2</f>
        <v/>
      </c>
      <c r="U30" s="562">
        <f>((G30+Q30+L30)+(2*T30))/5</f>
        <v/>
      </c>
      <c r="V30" s="561">
        <f>IF(U30&gt;=8.95," xuất sắc",IF(U30&gt;=7.95,"Giỏi",IF(U30&gt;=6.95,"Khá",IF(U30&gt;=5.95,"TB-khá",IF(U30&gt;=4.95,"Trung bình","yếu")))))</f>
        <v/>
      </c>
    </row>
    <row r="31" ht="16.5" customFormat="1" customHeight="1" s="546">
      <c r="A31" s="547" t="n">
        <v>28</v>
      </c>
      <c r="B31" s="548">
        <f>'Thông tin hoc sinh'!B30</f>
        <v/>
      </c>
      <c r="C31" s="549" t="n">
        <v>6</v>
      </c>
      <c r="D31" s="550" t="n">
        <v>7</v>
      </c>
      <c r="E31" s="551">
        <f>(C31+D31*2)/3</f>
        <v/>
      </c>
      <c r="F31" s="549" t="n">
        <v>7</v>
      </c>
      <c r="G31" s="552">
        <f>(2*E31+3*F31)/5</f>
        <v/>
      </c>
      <c r="H31" s="553" t="n">
        <v>6</v>
      </c>
      <c r="I31" s="554" t="n">
        <v>7</v>
      </c>
      <c r="J31" s="555">
        <f>(H31+I31*2)/3</f>
        <v/>
      </c>
      <c r="K31" s="553" t="n">
        <v>7</v>
      </c>
      <c r="L31" s="556">
        <f>(2*J31+3*K31)/5</f>
        <v/>
      </c>
      <c r="M31" s="557" t="n">
        <v>6</v>
      </c>
      <c r="N31" s="558" t="n">
        <v>7</v>
      </c>
      <c r="O31" s="559">
        <f>(M31+N31*2)/3</f>
        <v/>
      </c>
      <c r="P31" s="557" t="n">
        <v>7</v>
      </c>
      <c r="Q31" s="560">
        <f>(2*O31+3*P31)/5</f>
        <v/>
      </c>
      <c r="R31" s="561" t="n">
        <v>6</v>
      </c>
      <c r="S31" s="561" t="n">
        <v>7</v>
      </c>
      <c r="T31" s="562">
        <f>(R31+S31)/2</f>
        <v/>
      </c>
      <c r="U31" s="562">
        <f>((G31+Q31+L31)+(2*T31))/5</f>
        <v/>
      </c>
      <c r="V31" s="561">
        <f>IF(U31&gt;=8.95," xuất sắc",IF(U31&gt;=7.95,"Giỏi",IF(U31&gt;=6.95,"Khá",IF(U31&gt;=5.95,"TB-khá",IF(U31&gt;=4.95,"Trung bình","yếu")))))</f>
        <v/>
      </c>
    </row>
    <row r="32" ht="16.5" customFormat="1" customHeight="1" s="546">
      <c r="A32" s="547" t="n">
        <v>29</v>
      </c>
      <c r="B32" s="548">
        <f>'Thông tin hoc sinh'!B31</f>
        <v/>
      </c>
      <c r="C32" s="549" t="n">
        <v>7</v>
      </c>
      <c r="D32" s="550" t="n">
        <v>7</v>
      </c>
      <c r="E32" s="551">
        <f>(C32+D32*2)/3</f>
        <v/>
      </c>
      <c r="F32" s="549" t="n">
        <v>6</v>
      </c>
      <c r="G32" s="552">
        <f>(2*E32+3*F32)/5</f>
        <v/>
      </c>
      <c r="H32" s="553" t="n">
        <v>7</v>
      </c>
      <c r="I32" s="554" t="n">
        <v>7</v>
      </c>
      <c r="J32" s="555">
        <f>(H32+I32*2)/3</f>
        <v/>
      </c>
      <c r="K32" s="553" t="n">
        <v>6</v>
      </c>
      <c r="L32" s="556">
        <f>(2*J32+3*K32)/5</f>
        <v/>
      </c>
      <c r="M32" s="557" t="n">
        <v>7</v>
      </c>
      <c r="N32" s="558" t="n">
        <v>7</v>
      </c>
      <c r="O32" s="559">
        <f>(M32+N32*2)/3</f>
        <v/>
      </c>
      <c r="P32" s="557" t="n">
        <v>6</v>
      </c>
      <c r="Q32" s="560">
        <f>(2*O32+3*P32)/5</f>
        <v/>
      </c>
      <c r="R32" s="561" t="n">
        <v>6</v>
      </c>
      <c r="S32" s="561" t="n">
        <v>7</v>
      </c>
      <c r="T32" s="562">
        <f>(R32+S32)/2</f>
        <v/>
      </c>
      <c r="U32" s="562">
        <f>((G32+Q32+L32)+(2*T32))/5</f>
        <v/>
      </c>
      <c r="V32" s="561">
        <f>IF(U32&gt;=8.95," xuất sắc",IF(U32&gt;=7.95,"Giỏi",IF(U32&gt;=6.95,"Khá",IF(U32&gt;=5.95,"TB-khá",IF(U32&gt;=4.95,"Trung bình","yếu")))))</f>
        <v/>
      </c>
    </row>
    <row r="33" ht="16.5" customFormat="1" customHeight="1" s="546">
      <c r="A33" s="547" t="n">
        <v>30</v>
      </c>
      <c r="B33" s="548">
        <f>'Thông tin hoc sinh'!B32</f>
        <v/>
      </c>
      <c r="C33" s="549" t="n">
        <v>7</v>
      </c>
      <c r="D33" s="550" t="n">
        <v>9</v>
      </c>
      <c r="E33" s="551">
        <f>(C33+D33*2)/3</f>
        <v/>
      </c>
      <c r="F33" s="549" t="n">
        <v>9</v>
      </c>
      <c r="G33" s="552">
        <f>(2*E33+3*F33)/5</f>
        <v/>
      </c>
      <c r="H33" s="553" t="n">
        <v>7</v>
      </c>
      <c r="I33" s="554" t="n">
        <v>9</v>
      </c>
      <c r="J33" s="555">
        <f>(H33+I33*2)/3</f>
        <v/>
      </c>
      <c r="K33" s="553" t="n">
        <v>9</v>
      </c>
      <c r="L33" s="556">
        <f>(2*J33+3*K33)/5</f>
        <v/>
      </c>
      <c r="M33" s="557" t="n">
        <v>7</v>
      </c>
      <c r="N33" s="558" t="n">
        <v>9</v>
      </c>
      <c r="O33" s="559">
        <f>(M33+N33*2)/3</f>
        <v/>
      </c>
      <c r="P33" s="557" t="n">
        <v>9</v>
      </c>
      <c r="Q33" s="560">
        <f>(2*O33+3*P33)/5</f>
        <v/>
      </c>
      <c r="R33" s="561" t="n">
        <v>8</v>
      </c>
      <c r="S33" s="561" t="n">
        <v>8</v>
      </c>
      <c r="T33" s="562">
        <f>(R33+S33)/2</f>
        <v/>
      </c>
      <c r="U33" s="562">
        <f>((G33+Q33+L33)+(2*T33))/5</f>
        <v/>
      </c>
      <c r="V33" s="561">
        <f>IF(U33&gt;=8.95," xuất sắc",IF(U33&gt;=7.95,"Giỏi",IF(U33&gt;=6.95,"Khá",IF(U33&gt;=5.95,"TB-khá",IF(U33&gt;=4.95,"Trung bình","yếu")))))</f>
        <v/>
      </c>
    </row>
    <row r="34" ht="16.5" customFormat="1" customHeight="1" s="546">
      <c r="A34" s="547" t="n">
        <v>31</v>
      </c>
      <c r="B34" s="548">
        <f>'Thông tin hoc sinh'!B33</f>
        <v/>
      </c>
      <c r="C34" s="549" t="n">
        <v>7</v>
      </c>
      <c r="D34" s="550" t="n">
        <v>6</v>
      </c>
      <c r="E34" s="551">
        <f>(C34+D34*2)/3</f>
        <v/>
      </c>
      <c r="F34" s="549" t="n">
        <v>6.5</v>
      </c>
      <c r="G34" s="552">
        <f>(2*E34+3*F34)/5</f>
        <v/>
      </c>
      <c r="H34" s="553" t="n">
        <v>7</v>
      </c>
      <c r="I34" s="554" t="n">
        <v>6</v>
      </c>
      <c r="J34" s="555">
        <f>(H34+I34*2)/3</f>
        <v/>
      </c>
      <c r="K34" s="553" t="n">
        <v>6.5</v>
      </c>
      <c r="L34" s="556">
        <f>(2*J34+3*K34)/5</f>
        <v/>
      </c>
      <c r="M34" s="557" t="n">
        <v>7</v>
      </c>
      <c r="N34" s="558" t="n">
        <v>6</v>
      </c>
      <c r="O34" s="559">
        <f>(M34+N34*2)/3</f>
        <v/>
      </c>
      <c r="P34" s="557" t="n">
        <v>6.5</v>
      </c>
      <c r="Q34" s="560">
        <f>(2*O34+3*P34)/5</f>
        <v/>
      </c>
      <c r="R34" s="561" t="n">
        <v>6</v>
      </c>
      <c r="S34" s="561" t="n">
        <v>7</v>
      </c>
      <c r="T34" s="562">
        <f>(R34+S34)/2</f>
        <v/>
      </c>
      <c r="U34" s="562">
        <f>((G34+Q34+L34)+(2*T34))/5</f>
        <v/>
      </c>
      <c r="V34" s="561">
        <f>IF(U34&gt;=8.95," xuất sắc",IF(U34&gt;=7.95,"Giỏi",IF(U34&gt;=6.95,"Khá",IF(U34&gt;=5.95,"TB-khá",IF(U34&gt;=4.95,"Trung bình","yếu")))))</f>
        <v/>
      </c>
    </row>
    <row r="35" ht="18.75" customFormat="1" customHeight="1" s="546">
      <c r="A35" s="566" t="n">
        <v>32</v>
      </c>
      <c r="B35" s="548">
        <f>'Thông tin hoc sinh'!B34</f>
        <v/>
      </c>
      <c r="C35" s="567" t="n">
        <v>6</v>
      </c>
      <c r="D35" s="568" t="n">
        <v>7</v>
      </c>
      <c r="E35" s="551">
        <f>(C35+D35*2)/3</f>
        <v/>
      </c>
      <c r="F35" s="569" t="n">
        <v>8.5</v>
      </c>
      <c r="G35" s="552">
        <f>(2*E35+3*F35)/5</f>
        <v/>
      </c>
      <c r="H35" s="570" t="n">
        <v>6</v>
      </c>
      <c r="I35" s="571" t="n">
        <v>7</v>
      </c>
      <c r="J35" s="555">
        <f>(H35+I35*2)/3</f>
        <v/>
      </c>
      <c r="K35" s="572" t="n">
        <v>8.5</v>
      </c>
      <c r="L35" s="556">
        <f>(2*J35+3*K35)/5</f>
        <v/>
      </c>
      <c r="M35" s="573" t="n">
        <v>6</v>
      </c>
      <c r="N35" s="574" t="n">
        <v>7</v>
      </c>
      <c r="O35" s="559">
        <f>(M35+N35*2)/3</f>
        <v/>
      </c>
      <c r="P35" s="575" t="n">
        <v>8.5</v>
      </c>
      <c r="Q35" s="560">
        <f>(2*O35+3*P35)/5</f>
        <v/>
      </c>
      <c r="R35" s="561" t="n">
        <v>6</v>
      </c>
      <c r="S35" s="561" t="n">
        <v>7</v>
      </c>
      <c r="T35" s="562">
        <f>(R35+S35)/2</f>
        <v/>
      </c>
      <c r="U35" s="562">
        <f>((G35+Q35+L35)+(2*T35))/5</f>
        <v/>
      </c>
      <c r="V35" s="561">
        <f>IF(U35&gt;=8.95," xuất sắc",IF(U35&gt;=7.95,"Giỏi",IF(U35&gt;=6.95,"Khá",IF(U35&gt;=5.95,"TB-khá",IF(U35&gt;=4.95,"Trung bình","yếu")))))</f>
        <v/>
      </c>
    </row>
    <row r="36" ht="18.75" customHeight="1" s="335">
      <c r="A36" s="576" t="n">
        <v>33</v>
      </c>
      <c r="B36" s="548">
        <f>'Thông tin hoc sinh'!B35</f>
        <v/>
      </c>
      <c r="C36" s="569" t="n">
        <v>7</v>
      </c>
      <c r="D36" s="569" t="n">
        <v>7</v>
      </c>
      <c r="E36" s="551">
        <f>(C36+D36*2)/3</f>
        <v/>
      </c>
      <c r="F36" s="569" t="n">
        <v>8</v>
      </c>
      <c r="G36" s="552">
        <f>(2*E36+3*F36)/5</f>
        <v/>
      </c>
      <c r="H36" s="572" t="n">
        <v>7</v>
      </c>
      <c r="I36" s="572" t="n">
        <v>7</v>
      </c>
      <c r="J36" s="555">
        <f>(H36+I36*2)/3</f>
        <v/>
      </c>
      <c r="K36" s="572" t="n">
        <v>8</v>
      </c>
      <c r="L36" s="556">
        <f>(2*J36+3*K36)/5</f>
        <v/>
      </c>
      <c r="M36" s="575" t="n">
        <v>7</v>
      </c>
      <c r="N36" s="575" t="n">
        <v>7</v>
      </c>
      <c r="O36" s="559">
        <f>(M36+N36*2)/3</f>
        <v/>
      </c>
      <c r="P36" s="575" t="n">
        <v>8</v>
      </c>
      <c r="Q36" s="560">
        <f>(2*O36+3*P36)/5</f>
        <v/>
      </c>
      <c r="R36" s="561" t="n">
        <v>6</v>
      </c>
      <c r="S36" s="561" t="n">
        <v>7</v>
      </c>
      <c r="T36" s="562">
        <f>(R36+S36)/2</f>
        <v/>
      </c>
      <c r="U36" s="562">
        <f>((G36+Q36+L36)+(2*T36))/5</f>
        <v/>
      </c>
      <c r="V36" s="561">
        <f>IF(U36&gt;=8.95," xuất sắc",IF(U36&gt;=7.95,"Giỏi",IF(U36&gt;=6.95,"Khá",IF(U36&gt;=5.95,"TB-khá",IF(U36&gt;=4.95,"Trung bình","yếu")))))</f>
        <v/>
      </c>
    </row>
    <row r="37" ht="18.75" customHeight="1" s="335">
      <c r="A37" s="576" t="n">
        <v>34</v>
      </c>
      <c r="B37" s="548">
        <f>'Thông tin hoc sinh'!B36</f>
        <v/>
      </c>
      <c r="C37" s="569" t="n">
        <v>8</v>
      </c>
      <c r="D37" s="569" t="n">
        <v>6</v>
      </c>
      <c r="E37" s="551">
        <f>(C37+D37*2)/3</f>
        <v/>
      </c>
      <c r="F37" s="569" t="n">
        <v>8</v>
      </c>
      <c r="G37" s="552">
        <f>(2*E37+3*F37)/5</f>
        <v/>
      </c>
      <c r="H37" s="572" t="n">
        <v>8</v>
      </c>
      <c r="I37" s="572" t="n">
        <v>6</v>
      </c>
      <c r="J37" s="555">
        <f>(H37+I37*2)/3</f>
        <v/>
      </c>
      <c r="K37" s="572" t="n">
        <v>8</v>
      </c>
      <c r="L37" s="556">
        <f>(2*J37+3*K37)/5</f>
        <v/>
      </c>
      <c r="M37" s="575" t="n">
        <v>8</v>
      </c>
      <c r="N37" s="575" t="n">
        <v>6</v>
      </c>
      <c r="O37" s="559">
        <f>(M37+N37*2)/3</f>
        <v/>
      </c>
      <c r="P37" s="575" t="n">
        <v>8</v>
      </c>
      <c r="Q37" s="560">
        <f>(2*O37+3*P37)/5</f>
        <v/>
      </c>
      <c r="R37" s="561" t="n">
        <v>7</v>
      </c>
      <c r="S37" s="561" t="n">
        <v>7</v>
      </c>
      <c r="T37" s="562">
        <f>(R37+S37)/2</f>
        <v/>
      </c>
      <c r="U37" s="562">
        <f>((G37+Q37+L37)+(2*T37))/5</f>
        <v/>
      </c>
      <c r="V37" s="561">
        <f>IF(U37&gt;=8.95," xuất sắc",IF(U37&gt;=7.95,"Giỏi",IF(U37&gt;=6.95,"Khá",IF(U37&gt;=5.95,"TB-khá",IF(U37&gt;=4.95,"Trung bình","yếu")))))</f>
        <v/>
      </c>
    </row>
    <row r="38" ht="18.75" customHeight="1" s="335">
      <c r="A38" s="576" t="n">
        <v>35</v>
      </c>
      <c r="B38" s="548">
        <f>'Thông tin hoc sinh'!B37</f>
        <v/>
      </c>
      <c r="C38" s="569" t="n">
        <v>7</v>
      </c>
      <c r="D38" s="569" t="n">
        <v>6</v>
      </c>
      <c r="E38" s="551">
        <f>(C38+D38*2)/3</f>
        <v/>
      </c>
      <c r="F38" s="569" t="n">
        <v>5</v>
      </c>
      <c r="G38" s="552">
        <f>(2*E38+3*F38)/5</f>
        <v/>
      </c>
      <c r="H38" s="572" t="n">
        <v>7</v>
      </c>
      <c r="I38" s="572" t="n">
        <v>6</v>
      </c>
      <c r="J38" s="555">
        <f>(H38+I38*2)/3</f>
        <v/>
      </c>
      <c r="K38" s="572" t="n">
        <v>5</v>
      </c>
      <c r="L38" s="556">
        <f>(2*J38+3*K38)/5</f>
        <v/>
      </c>
      <c r="M38" s="575" t="n">
        <v>7</v>
      </c>
      <c r="N38" s="575" t="n">
        <v>6</v>
      </c>
      <c r="O38" s="559">
        <f>(M38+N38*2)/3</f>
        <v/>
      </c>
      <c r="P38" s="575" t="n">
        <v>5</v>
      </c>
      <c r="Q38" s="560">
        <f>(2*O38+3*P38)/5</f>
        <v/>
      </c>
      <c r="R38" s="561" t="n">
        <v>7</v>
      </c>
      <c r="S38" s="561" t="n">
        <v>8</v>
      </c>
      <c r="T38" s="562">
        <f>(R38+S38)/2</f>
        <v/>
      </c>
      <c r="U38" s="562">
        <f>((G38+Q38+L38)+(2*T38))/5</f>
        <v/>
      </c>
      <c r="V38" s="561">
        <f>IF(U38&gt;=8.95," xuất sắc",IF(U38&gt;=7.95,"Giỏi",IF(U38&gt;=6.95,"Khá",IF(U38&gt;=5.95,"TB-khá",IF(U38&gt;=4.95,"Trung bình","yếu")))))</f>
        <v/>
      </c>
    </row>
  </sheetData>
  <mergeCells count="12">
    <mergeCell ref="H2:L2"/>
    <mergeCell ref="T2:T3"/>
    <mergeCell ref="M2:Q2"/>
    <mergeCell ref="C2:G2"/>
    <mergeCell ref="A1:V1"/>
    <mergeCell ref="Z4:AF9"/>
    <mergeCell ref="B2:B3"/>
    <mergeCell ref="A2:A3"/>
    <mergeCell ref="V2:V3"/>
    <mergeCell ref="U2:U3"/>
    <mergeCell ref="R2:R3"/>
    <mergeCell ref="S2: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46"/>
  <sheetViews>
    <sheetView showFormulas="0" showGridLines="1" showRowColHeaders="1" showZeros="1" rightToLeft="0" tabSelected="0" showOutlineSymbols="1" defaultGridColor="1" view="normal" topLeftCell="A22" colorId="64" zoomScale="85" zoomScaleNormal="85" zoomScalePageLayoutView="100" workbookViewId="0">
      <selection pane="topLeft" activeCell="I40" activeCellId="0" sqref="I40"/>
    </sheetView>
  </sheetViews>
  <sheetFormatPr baseColWidth="8" defaultColWidth="8.99609375" defaultRowHeight="15.75" zeroHeight="0" outlineLevelRow="0"/>
  <cols>
    <col width="5.11" customWidth="1" style="577" min="1" max="1"/>
    <col width="15.12" customWidth="1" style="577" min="2" max="2"/>
    <col width="5.87" customWidth="1" style="577" min="3" max="3"/>
    <col width="20.74" customWidth="1" style="577" min="4" max="4"/>
    <col width="33.12" customWidth="1" style="577" min="5" max="5"/>
    <col width="15.12" customWidth="1" style="577" min="6" max="6"/>
    <col width="11.24" customWidth="1" style="577" min="7" max="7"/>
    <col width="7.24" customWidth="1" style="577" min="8" max="9"/>
    <col width="13.37" customWidth="1" style="577" min="10" max="10"/>
    <col width="8.74" customWidth="1" style="577" min="11" max="11"/>
    <col width="6.75" customWidth="1" style="577" min="12" max="12"/>
    <col width="8.99" customWidth="1" style="577" min="13" max="257"/>
  </cols>
  <sheetData>
    <row r="1" ht="16.5" customHeight="1" s="335">
      <c r="A1" s="546" t="inlineStr">
        <is>
          <t>UBND HUYỆN ĐĂKTÔ</t>
        </is>
      </c>
      <c r="E1" s="578" t="inlineStr">
        <is>
          <t>CỘNG HÒA XÃ HỘI CHỦ NGHĨA VIỆT NAM</t>
        </is>
      </c>
      <c r="I1" s="578" t="n"/>
    </row>
    <row r="2" ht="20.25" customHeight="1" s="335">
      <c r="A2" s="578" t="inlineStr">
        <is>
          <t>TRUNG TÂM GDNN - GDTX</t>
        </is>
      </c>
      <c r="E2" s="579" t="inlineStr">
        <is>
          <t>Độc lập - Tự do - Hạnh phúc</t>
        </is>
      </c>
      <c r="I2" s="579" t="n"/>
    </row>
    <row r="3" ht="33.75" customHeight="1" s="335">
      <c r="A3" s="580" t="inlineStr">
        <is>
          <t>DANH SÁCH CÔNG NHẬN TỐT NGHIỆP</t>
        </is>
      </c>
      <c r="I3" s="580" t="n"/>
    </row>
    <row r="4" ht="18.75" customHeight="1" s="335">
      <c r="A4" s="581">
        <f>"Đào tạo nghề cho lao động nông thôn - Nghề: "&amp;MENU!E3&amp;"; Khóa: "&amp;MENU!E4&amp;"; Năm "&amp;MENU!E5</f>
        <v/>
      </c>
      <c r="I4" s="581" t="n"/>
    </row>
    <row r="5" ht="16.5" customHeight="1" s="335">
      <c r="A5" s="582">
        <f>"(Kèm theo Quyết định số:       /QĐ-GDNN-GDTX ngày      tháng    năm "&amp;MENU!E5&amp;" của Giám đốc Trung tâm GDNN-GDTX huyện ĐăkTô)"</f>
        <v/>
      </c>
      <c r="I5" s="583" t="n"/>
    </row>
    <row r="6" ht="16.5" customHeight="1" s="335">
      <c r="A6" s="583" t="n"/>
      <c r="B6" s="583" t="n"/>
      <c r="C6" s="583" t="n"/>
      <c r="D6" s="583" t="n"/>
      <c r="E6" s="583" t="n"/>
      <c r="F6" s="583" t="n"/>
      <c r="G6" s="583" t="n"/>
      <c r="H6" s="583" t="n"/>
      <c r="I6" s="583" t="n"/>
    </row>
    <row r="7" ht="41.25" customFormat="1" customHeight="1" s="577">
      <c r="A7" s="584" t="inlineStr">
        <is>
          <t>Số
TT</t>
        </is>
      </c>
      <c r="B7" s="585" t="inlineStr">
        <is>
          <t>Họ và tên</t>
        </is>
      </c>
      <c r="C7" s="584" t="inlineStr">
        <is>
          <t>Năm sinh</t>
        </is>
      </c>
      <c r="D7" s="584" t="inlineStr">
        <is>
          <t>Nguyên quán</t>
        </is>
      </c>
      <c r="E7" s="584" t="inlineStr">
        <is>
          <t>Nơi cư trú</t>
        </is>
      </c>
      <c r="F7" s="584" t="inlineStr">
        <is>
          <t>Điểm tổng kết
khóa học</t>
        </is>
      </c>
      <c r="G7" s="584" t="inlineStr">
        <is>
          <t>Xếp loại
tốt nghiệp</t>
        </is>
      </c>
      <c r="H7" s="584" t="inlineStr">
        <is>
          <t>Ghi
chú</t>
        </is>
      </c>
      <c r="I7" s="586" t="n"/>
      <c r="J7" s="587" t="inlineStr">
        <is>
          <t>Thống kê</t>
        </is>
      </c>
    </row>
    <row r="8" ht="18" customFormat="1" customHeight="1" s="588">
      <c r="A8" s="589" t="inlineStr">
        <is>
          <t>01</t>
        </is>
      </c>
      <c r="B8" s="590">
        <f>'Thông tin hoc sinh'!B3</f>
        <v/>
      </c>
      <c r="C8" s="590">
        <f>'Thông tin hoc sinh'!C3</f>
        <v/>
      </c>
      <c r="D8" s="591">
        <f>DSTN!K10</f>
        <v/>
      </c>
      <c r="E8" s="591">
        <f>DSTN!L10</f>
        <v/>
      </c>
      <c r="F8" s="592" t="n">
        <v>7.4</v>
      </c>
      <c r="G8" s="593">
        <f>IF(F8&gt;=9,"Xuất sắc",IF(F8&gt;=8,"Giỏi",IF(F8&gt;=7,"Khá",IF(F8&gt;=6,"TB - Khá",IF(F8&gt;=5,"Trung bình","")))))</f>
        <v/>
      </c>
      <c r="H8" s="594" t="n"/>
      <c r="I8" s="595" t="n"/>
      <c r="J8" s="578" t="inlineStr">
        <is>
          <t>Kết quả cuối khóa học</t>
        </is>
      </c>
    </row>
    <row r="9" ht="18" customFormat="1" customHeight="1" s="588">
      <c r="A9" s="596" t="inlineStr">
        <is>
          <t>02</t>
        </is>
      </c>
      <c r="B9" s="597">
        <f>'Thông tin hoc sinh'!B4</f>
        <v/>
      </c>
      <c r="C9" s="597">
        <f>'Thông tin hoc sinh'!C4</f>
        <v/>
      </c>
      <c r="D9" s="598">
        <f>DSTN!K11</f>
        <v/>
      </c>
      <c r="E9" s="598">
        <f>DSTN!L11</f>
        <v/>
      </c>
      <c r="F9" s="599" t="n">
        <v>7</v>
      </c>
      <c r="G9" s="600">
        <f>IF(F9&gt;=9,"Xuất sắc",IF(F9&gt;=8,"Giỏi",IF(F9&gt;=7,"Khá",IF(F9&gt;=6,"TB - Khá",IF(F9&gt;=5,"Trung bình","")))))</f>
        <v/>
      </c>
      <c r="H9" s="601" t="n"/>
      <c r="I9" s="595" t="n"/>
      <c r="J9" s="588" t="inlineStr">
        <is>
          <t>Xếp loại</t>
        </is>
      </c>
      <c r="K9" s="588" t="inlineStr">
        <is>
          <t>Số lượng</t>
        </is>
      </c>
      <c r="L9" s="588" t="inlineStr">
        <is>
          <t>%</t>
        </is>
      </c>
    </row>
    <row r="10" ht="18" customFormat="1" customHeight="1" s="588">
      <c r="A10" s="596" t="inlineStr">
        <is>
          <t>03</t>
        </is>
      </c>
      <c r="B10" s="597">
        <f>'Thông tin hoc sinh'!B5</f>
        <v/>
      </c>
      <c r="C10" s="597">
        <f>'Thông tin hoc sinh'!C5</f>
        <v/>
      </c>
      <c r="D10" s="598">
        <f>DSTN!K12</f>
        <v/>
      </c>
      <c r="E10" s="598">
        <f>DSTN!L12</f>
        <v/>
      </c>
      <c r="F10" s="599" t="n">
        <v>6.8</v>
      </c>
      <c r="G10" s="600">
        <f>IF(F10&gt;=9,"Xuất sắc",IF(F10&gt;=8,"Giỏi",IF(F10&gt;=7,"Khá",IF(F10&gt;=6,"TB - Khá",IF(F10&gt;=5,"Trung bình","")))))</f>
        <v/>
      </c>
      <c r="H10" s="601" t="n"/>
      <c r="I10" s="595" t="n"/>
      <c r="J10" s="588" t="inlineStr">
        <is>
          <t>Xuất sắc</t>
        </is>
      </c>
      <c r="K10" s="588">
        <f>COUNTIF($G$8:$G$42,J10)</f>
        <v/>
      </c>
      <c r="L10" s="602">
        <f>K10/SUM($K$10:$K$14)</f>
        <v/>
      </c>
    </row>
    <row r="11" ht="18" customFormat="1" customHeight="1" s="588">
      <c r="A11" s="596" t="inlineStr">
        <is>
          <t>04</t>
        </is>
      </c>
      <c r="B11" s="597">
        <f>'Thông tin hoc sinh'!B6</f>
        <v/>
      </c>
      <c r="C11" s="597">
        <f>'Thông tin hoc sinh'!C6</f>
        <v/>
      </c>
      <c r="D11" s="598">
        <f>DSTN!K13</f>
        <v/>
      </c>
      <c r="E11" s="598">
        <f>DSTN!L13</f>
        <v/>
      </c>
      <c r="F11" s="599" t="n">
        <v>6.7</v>
      </c>
      <c r="G11" s="600">
        <f>IF(F11&gt;=9,"Xuất sắc",IF(F11&gt;=8,"Giỏi",IF(F11&gt;=7,"Khá",IF(F11&gt;=6,"TB - Khá",IF(F11&gt;=5,"Trung bình","")))))</f>
        <v/>
      </c>
      <c r="H11" s="601" t="n"/>
      <c r="I11" s="595" t="n"/>
      <c r="J11" s="588" t="inlineStr">
        <is>
          <t>Giỏi</t>
        </is>
      </c>
      <c r="K11" s="588">
        <f>COUNTIF($G$8:$G$42,J11)</f>
        <v/>
      </c>
      <c r="L11" s="602">
        <f>K11/SUM($K$10:$K$14)</f>
        <v/>
      </c>
    </row>
    <row r="12" ht="18" customFormat="1" customHeight="1" s="588">
      <c r="A12" s="596" t="inlineStr">
        <is>
          <t>05</t>
        </is>
      </c>
      <c r="B12" s="597">
        <f>'Thông tin hoc sinh'!B7</f>
        <v/>
      </c>
      <c r="C12" s="597">
        <f>'Thông tin hoc sinh'!C7</f>
        <v/>
      </c>
      <c r="D12" s="598">
        <f>DSTN!K14</f>
        <v/>
      </c>
      <c r="E12" s="598">
        <f>DSTN!L14</f>
        <v/>
      </c>
      <c r="F12" s="599" t="n">
        <v>6.9</v>
      </c>
      <c r="G12" s="600">
        <f>IF(F12&gt;=9,"Xuất sắc",IF(F12&gt;=8,"Giỏi",IF(F12&gt;=7,"Khá",IF(F12&gt;=6,"TB - Khá",IF(F12&gt;=5,"Trung bình","")))))</f>
        <v/>
      </c>
      <c r="H12" s="601" t="n"/>
      <c r="I12" s="595" t="n"/>
      <c r="J12" s="588" t="inlineStr">
        <is>
          <t>Khá</t>
        </is>
      </c>
      <c r="K12" s="588">
        <f>COUNTIF($G$8:$G$42,J12)</f>
        <v/>
      </c>
      <c r="L12" s="602">
        <f>K12/SUM($K$10:$K$14)</f>
        <v/>
      </c>
    </row>
    <row r="13" ht="18" customFormat="1" customHeight="1" s="588">
      <c r="A13" s="596" t="inlineStr">
        <is>
          <t>06</t>
        </is>
      </c>
      <c r="B13" s="597">
        <f>'Thông tin hoc sinh'!B8</f>
        <v/>
      </c>
      <c r="C13" s="597">
        <f>'Thông tin hoc sinh'!C8</f>
        <v/>
      </c>
      <c r="D13" s="598">
        <f>DSTN!K15</f>
        <v/>
      </c>
      <c r="E13" s="598">
        <f>DSTN!L15</f>
        <v/>
      </c>
      <c r="F13" s="599" t="n">
        <v>6.9</v>
      </c>
      <c r="G13" s="600">
        <f>IF(F13&gt;=9,"Xuất sắc",IF(F13&gt;=8,"Giỏi",IF(F13&gt;=7,"Khá",IF(F13&gt;=6,"TB - Khá",IF(F13&gt;=5,"Trung bình","")))))</f>
        <v/>
      </c>
      <c r="H13" s="601" t="n"/>
      <c r="I13" s="595" t="n"/>
      <c r="J13" s="588" t="inlineStr">
        <is>
          <t>TB - Khá</t>
        </is>
      </c>
      <c r="K13" s="588">
        <f>COUNTIF($G$8:$G$42,J13)</f>
        <v/>
      </c>
      <c r="L13" s="602">
        <f>K13/SUM($K$10:$K$14)</f>
        <v/>
      </c>
    </row>
    <row r="14" ht="18" customFormat="1" customHeight="1" s="588">
      <c r="A14" s="596" t="inlineStr">
        <is>
          <t>07</t>
        </is>
      </c>
      <c r="B14" s="597">
        <f>'Thông tin hoc sinh'!B9</f>
        <v/>
      </c>
      <c r="C14" s="597">
        <f>'Thông tin hoc sinh'!C9</f>
        <v/>
      </c>
      <c r="D14" s="598">
        <f>DSTN!K16</f>
        <v/>
      </c>
      <c r="E14" s="598">
        <f>DSTN!L16</f>
        <v/>
      </c>
      <c r="F14" s="599" t="n">
        <v>6.6</v>
      </c>
      <c r="G14" s="600">
        <f>IF(F14&gt;=9,"Xuất sắc",IF(F14&gt;=8,"Giỏi",IF(F14&gt;=7,"Khá",IF(F14&gt;=6,"TB - Khá",IF(F14&gt;=5,"Trung bình","")))))</f>
        <v/>
      </c>
      <c r="H14" s="601" t="n"/>
      <c r="I14" s="595" t="n"/>
      <c r="J14" s="588" t="inlineStr">
        <is>
          <t>Trung bình</t>
        </is>
      </c>
      <c r="K14" s="588">
        <f>COUNTIF($G$8:$G$42,J14)</f>
        <v/>
      </c>
      <c r="L14" s="602">
        <f>K14/SUM($K$10:$K$14)</f>
        <v/>
      </c>
    </row>
    <row r="15" ht="18" customFormat="1" customHeight="1" s="588">
      <c r="A15" s="596" t="inlineStr">
        <is>
          <t>08</t>
        </is>
      </c>
      <c r="B15" s="597">
        <f>'Thông tin hoc sinh'!B10</f>
        <v/>
      </c>
      <c r="C15" s="597">
        <f>'Thông tin hoc sinh'!C10</f>
        <v/>
      </c>
      <c r="D15" s="598">
        <f>DSTN!K17</f>
        <v/>
      </c>
      <c r="E15" s="598">
        <f>DSTN!L17</f>
        <v/>
      </c>
      <c r="F15" s="599" t="n">
        <v>6.6</v>
      </c>
      <c r="G15" s="600">
        <f>IF(F15&gt;=9,"Xuất sắc",IF(F15&gt;=8,"Giỏi",IF(F15&gt;=7,"Khá",IF(F15&gt;=6,"TB - Khá",IF(F15&gt;=5,"Trung bình","")))))</f>
        <v/>
      </c>
      <c r="H15" s="601" t="n"/>
      <c r="I15" s="595" t="n"/>
    </row>
    <row r="16" ht="18" customFormat="1" customHeight="1" s="588">
      <c r="A16" s="596" t="inlineStr">
        <is>
          <t>09</t>
        </is>
      </c>
      <c r="B16" s="597">
        <f>'Thông tin hoc sinh'!B11</f>
        <v/>
      </c>
      <c r="C16" s="597">
        <f>'Thông tin hoc sinh'!C11</f>
        <v/>
      </c>
      <c r="D16" s="598">
        <f>DSTN!K18</f>
        <v/>
      </c>
      <c r="E16" s="598">
        <f>DSTN!L18</f>
        <v/>
      </c>
      <c r="F16" s="599" t="n">
        <v>6.6</v>
      </c>
      <c r="G16" s="600">
        <f>IF(F16&gt;=9,"Xuất sắc",IF(F16&gt;=8,"Giỏi",IF(F16&gt;=7,"Khá",IF(F16&gt;=6,"TB - Khá",IF(F16&gt;=5,"Trung bình","")))))</f>
        <v/>
      </c>
      <c r="H16" s="601" t="n"/>
      <c r="I16" s="595" t="n"/>
    </row>
    <row r="17" ht="18" customFormat="1" customHeight="1" s="588">
      <c r="A17" s="596" t="inlineStr">
        <is>
          <t>10</t>
        </is>
      </c>
      <c r="B17" s="597">
        <f>'Thông tin hoc sinh'!B12</f>
        <v/>
      </c>
      <c r="C17" s="597">
        <f>'Thông tin hoc sinh'!C12</f>
        <v/>
      </c>
      <c r="D17" s="598">
        <f>DSTN!K19</f>
        <v/>
      </c>
      <c r="E17" s="598">
        <f>DSTN!L19</f>
        <v/>
      </c>
      <c r="F17" s="599" t="n">
        <v>6.2</v>
      </c>
      <c r="G17" s="600">
        <f>IF(F17&gt;=9,"Xuất sắc",IF(F17&gt;=8,"Giỏi",IF(F17&gt;=7,"Khá",IF(F17&gt;=6,"TB - Khá",IF(F17&gt;=5,"Trung bình","")))))</f>
        <v/>
      </c>
      <c r="H17" s="601" t="n"/>
      <c r="I17" s="595" t="n"/>
    </row>
    <row r="18" ht="18" customFormat="1" customHeight="1" s="588">
      <c r="A18" s="596" t="inlineStr">
        <is>
          <t>11</t>
        </is>
      </c>
      <c r="B18" s="597">
        <f>'Thông tin hoc sinh'!B13</f>
        <v/>
      </c>
      <c r="C18" s="597">
        <f>'Thông tin hoc sinh'!C13</f>
        <v/>
      </c>
      <c r="D18" s="598">
        <f>DSTN!K20</f>
        <v/>
      </c>
      <c r="E18" s="598">
        <f>DSTN!L20</f>
        <v/>
      </c>
      <c r="F18" s="599" t="n">
        <v>6.9</v>
      </c>
      <c r="G18" s="600">
        <f>IF(F18&gt;=9,"Xuất sắc",IF(F18&gt;=8,"Giỏi",IF(F18&gt;=7,"Khá",IF(F18&gt;=6,"TB - Khá",IF(F18&gt;=5,"Trung bình","")))))</f>
        <v/>
      </c>
      <c r="H18" s="601" t="n"/>
      <c r="I18" s="595" t="n"/>
    </row>
    <row r="19" ht="18" customFormat="1" customHeight="1" s="588">
      <c r="A19" s="596" t="inlineStr">
        <is>
          <t>12</t>
        </is>
      </c>
      <c r="B19" s="597">
        <f>'Thông tin hoc sinh'!B14</f>
        <v/>
      </c>
      <c r="C19" s="597">
        <f>'Thông tin hoc sinh'!C14</f>
        <v/>
      </c>
      <c r="D19" s="598">
        <f>DSTN!K21</f>
        <v/>
      </c>
      <c r="E19" s="598">
        <f>DSTN!L21</f>
        <v/>
      </c>
      <c r="F19" s="599" t="n">
        <v>6.8</v>
      </c>
      <c r="G19" s="600">
        <f>IF(F19&gt;=9,"Xuất sắc",IF(F19&gt;=8,"Giỏi",IF(F19&gt;=7,"Khá",IF(F19&gt;=6,"TB - Khá",IF(F19&gt;=5,"Trung bình","")))))</f>
        <v/>
      </c>
      <c r="H19" s="601" t="n"/>
      <c r="I19" s="595" t="n"/>
    </row>
    <row r="20" ht="18" customFormat="1" customHeight="1" s="588">
      <c r="A20" s="596" t="inlineStr">
        <is>
          <t>13</t>
        </is>
      </c>
      <c r="B20" s="597">
        <f>'Thông tin hoc sinh'!B15</f>
        <v/>
      </c>
      <c r="C20" s="597">
        <f>'Thông tin hoc sinh'!C15</f>
        <v/>
      </c>
      <c r="D20" s="598">
        <f>DSTN!K22</f>
        <v/>
      </c>
      <c r="E20" s="598">
        <f>DSTN!L22</f>
        <v/>
      </c>
      <c r="F20" s="599" t="n">
        <v>8.300000000000001</v>
      </c>
      <c r="G20" s="600">
        <f>IF(F20&gt;=9,"Xuất sắc",IF(F20&gt;=8,"Giỏi",IF(F20&gt;=7,"Khá",IF(F20&gt;=6,"TB - Khá",IF(F20&gt;=5,"Trung bình","")))))</f>
        <v/>
      </c>
      <c r="H20" s="601" t="n"/>
      <c r="I20" s="595" t="n"/>
    </row>
    <row r="21" ht="18" customFormat="1" customHeight="1" s="588">
      <c r="A21" s="596" t="inlineStr">
        <is>
          <t>14</t>
        </is>
      </c>
      <c r="B21" s="597">
        <f>'Thông tin hoc sinh'!B16</f>
        <v/>
      </c>
      <c r="C21" s="597">
        <f>'Thông tin hoc sinh'!C16</f>
        <v/>
      </c>
      <c r="D21" s="598">
        <f>DSTN!K23</f>
        <v/>
      </c>
      <c r="E21" s="598">
        <f>DSTN!L23</f>
        <v/>
      </c>
      <c r="F21" s="599" t="n">
        <v>6.8</v>
      </c>
      <c r="G21" s="600">
        <f>IF(F21&gt;=9,"Xuất sắc",IF(F21&gt;=8,"Giỏi",IF(F21&gt;=7,"Khá",IF(F21&gt;=6,"TB - Khá",IF(F21&gt;=5,"Trung bình","")))))</f>
        <v/>
      </c>
      <c r="H21" s="601" t="n"/>
      <c r="I21" s="595" t="n"/>
    </row>
    <row r="22" ht="18" customFormat="1" customHeight="1" s="588">
      <c r="A22" s="596" t="inlineStr">
        <is>
          <t>15</t>
        </is>
      </c>
      <c r="B22" s="597">
        <f>'Thông tin hoc sinh'!B17</f>
        <v/>
      </c>
      <c r="C22" s="597">
        <f>'Thông tin hoc sinh'!C17</f>
        <v/>
      </c>
      <c r="D22" s="598">
        <f>DSTN!K24</f>
        <v/>
      </c>
      <c r="E22" s="598">
        <f>DSTN!L24</f>
        <v/>
      </c>
      <c r="F22" s="599" t="n">
        <v>6.9</v>
      </c>
      <c r="G22" s="600">
        <f>IF(F22&gt;=9,"Xuất sắc",IF(F22&gt;=8,"Giỏi",IF(F22&gt;=7,"Khá",IF(F22&gt;=6,"TB - Khá",IF(F22&gt;=5,"Trung bình","")))))</f>
        <v/>
      </c>
      <c r="H22" s="601" t="n"/>
      <c r="I22" s="595" t="n"/>
    </row>
    <row r="23" ht="18" customFormat="1" customHeight="1" s="588">
      <c r="A23" s="596" t="inlineStr">
        <is>
          <t>16</t>
        </is>
      </c>
      <c r="B23" s="597">
        <f>'Thông tin hoc sinh'!B18</f>
        <v/>
      </c>
      <c r="C23" s="597">
        <f>'Thông tin hoc sinh'!C18</f>
        <v/>
      </c>
      <c r="D23" s="598">
        <f>DSTN!K25</f>
        <v/>
      </c>
      <c r="E23" s="598">
        <f>DSTN!L25</f>
        <v/>
      </c>
      <c r="F23" s="599" t="n">
        <v>6.3</v>
      </c>
      <c r="G23" s="600">
        <f>IF(F23&gt;=9,"Xuất sắc",IF(F23&gt;=8,"Giỏi",IF(F23&gt;=7,"Khá",IF(F23&gt;=6,"TB - Khá",IF(F23&gt;=5,"Trung bình","")))))</f>
        <v/>
      </c>
      <c r="H23" s="601" t="n"/>
      <c r="I23" s="595" t="n"/>
    </row>
    <row r="24" ht="18" customFormat="1" customHeight="1" s="588">
      <c r="A24" s="596" t="inlineStr">
        <is>
          <t>17</t>
        </is>
      </c>
      <c r="B24" s="597">
        <f>'Thông tin hoc sinh'!B19</f>
        <v/>
      </c>
      <c r="C24" s="597">
        <f>'Thông tin hoc sinh'!C19</f>
        <v/>
      </c>
      <c r="D24" s="598">
        <f>DSTN!K26</f>
        <v/>
      </c>
      <c r="E24" s="598">
        <f>DSTN!L26</f>
        <v/>
      </c>
      <c r="F24" s="599" t="n">
        <v>6.9</v>
      </c>
      <c r="G24" s="600">
        <f>IF(F24&gt;=9,"Xuất sắc",IF(F24&gt;=8,"Giỏi",IF(F24&gt;=7,"Khá",IF(F24&gt;=6,"TB - Khá",IF(F24&gt;=5,"Trung bình","")))))</f>
        <v/>
      </c>
      <c r="H24" s="601" t="n"/>
      <c r="I24" s="595" t="n"/>
    </row>
    <row r="25" ht="18" customFormat="1" customHeight="1" s="588">
      <c r="A25" s="596" t="inlineStr">
        <is>
          <t>18</t>
        </is>
      </c>
      <c r="B25" s="597">
        <f>'Thông tin hoc sinh'!B20</f>
        <v/>
      </c>
      <c r="C25" s="597">
        <f>'Thông tin hoc sinh'!C20</f>
        <v/>
      </c>
      <c r="D25" s="598">
        <f>DSTN!K27</f>
        <v/>
      </c>
      <c r="E25" s="598">
        <f>DSTN!L27</f>
        <v/>
      </c>
      <c r="F25" s="599" t="n">
        <v>6.4</v>
      </c>
      <c r="G25" s="600">
        <f>IF(F25&gt;=9,"Xuất sắc",IF(F25&gt;=8,"Giỏi",IF(F25&gt;=7,"Khá",IF(F25&gt;=6,"TB - Khá",IF(F25&gt;=5,"Trung bình","")))))</f>
        <v/>
      </c>
      <c r="H25" s="601" t="n"/>
      <c r="I25" s="595" t="n"/>
    </row>
    <row r="26" ht="18" customFormat="1" customHeight="1" s="588">
      <c r="A26" s="596" t="inlineStr">
        <is>
          <t>19</t>
        </is>
      </c>
      <c r="B26" s="597">
        <f>'Thông tin hoc sinh'!B21</f>
        <v/>
      </c>
      <c r="C26" s="597">
        <f>'Thông tin hoc sinh'!C21</f>
        <v/>
      </c>
      <c r="D26" s="598">
        <f>DSTN!K28</f>
        <v/>
      </c>
      <c r="E26" s="598">
        <f>DSTN!L28</f>
        <v/>
      </c>
      <c r="F26" s="599" t="n">
        <v>6.6</v>
      </c>
      <c r="G26" s="600">
        <f>IF(F26&gt;=9,"Xuất sắc",IF(F26&gt;=8,"Giỏi",IF(F26&gt;=7,"Khá",IF(F26&gt;=6,"TB - Khá",IF(F26&gt;=5,"Trung bình","")))))</f>
        <v/>
      </c>
      <c r="H26" s="601" t="n"/>
      <c r="I26" s="595" t="n"/>
    </row>
    <row r="27" ht="18" customFormat="1" customHeight="1" s="588">
      <c r="A27" s="596" t="inlineStr">
        <is>
          <t>20</t>
        </is>
      </c>
      <c r="B27" s="597">
        <f>'Thông tin hoc sinh'!B22</f>
        <v/>
      </c>
      <c r="C27" s="597">
        <f>'Thông tin hoc sinh'!C22</f>
        <v/>
      </c>
      <c r="D27" s="598">
        <f>DSTN!K29</f>
        <v/>
      </c>
      <c r="E27" s="598">
        <f>DSTN!L29</f>
        <v/>
      </c>
      <c r="F27" s="599" t="n">
        <v>7.1</v>
      </c>
      <c r="G27" s="600">
        <f>IF(F27&gt;=9,"Xuất sắc",IF(F27&gt;=8,"Giỏi",IF(F27&gt;=7,"Khá",IF(F27&gt;=6,"TB - Khá",IF(F27&gt;=5,"Trung bình","")))))</f>
        <v/>
      </c>
      <c r="H27" s="601" t="n"/>
      <c r="I27" s="595" t="n"/>
    </row>
    <row r="28" ht="18" customFormat="1" customHeight="1" s="588">
      <c r="A28" s="596" t="inlineStr">
        <is>
          <t>21</t>
        </is>
      </c>
      <c r="B28" s="597">
        <f>'Thông tin hoc sinh'!B23</f>
        <v/>
      </c>
      <c r="C28" s="597">
        <f>'Thông tin hoc sinh'!C23</f>
        <v/>
      </c>
      <c r="D28" s="598">
        <f>DSTN!K30</f>
        <v/>
      </c>
      <c r="E28" s="598">
        <f>DSTN!L30</f>
        <v/>
      </c>
      <c r="F28" s="599" t="n">
        <v>6.3</v>
      </c>
      <c r="G28" s="600">
        <f>IF(F28&gt;=9,"Xuất sắc",IF(F28&gt;=8,"Giỏi",IF(F28&gt;=7,"Khá",IF(F28&gt;=6,"TB - Khá",IF(F28&gt;=5,"Trung bình","")))))</f>
        <v/>
      </c>
      <c r="H28" s="601" t="n"/>
      <c r="I28" s="595" t="n"/>
    </row>
    <row r="29" ht="18" customFormat="1" customHeight="1" s="588">
      <c r="A29" s="596" t="inlineStr">
        <is>
          <t>22</t>
        </is>
      </c>
      <c r="B29" s="597">
        <f>'Thông tin hoc sinh'!B24</f>
        <v/>
      </c>
      <c r="C29" s="597">
        <f>'Thông tin hoc sinh'!C24</f>
        <v/>
      </c>
      <c r="D29" s="598">
        <f>DSTN!K31</f>
        <v/>
      </c>
      <c r="E29" s="598">
        <f>DSTN!L31</f>
        <v/>
      </c>
      <c r="F29" s="599" t="n">
        <v>6.7</v>
      </c>
      <c r="G29" s="600">
        <f>IF(F29&gt;=9,"Xuất sắc",IF(F29&gt;=8,"Giỏi",IF(F29&gt;=7,"Khá",IF(F29&gt;=6,"TB - Khá",IF(F29&gt;=5,"Trung bình","")))))</f>
        <v/>
      </c>
      <c r="H29" s="601" t="n"/>
      <c r="I29" s="595" t="n"/>
    </row>
    <row r="30" ht="18" customFormat="1" customHeight="1" s="588">
      <c r="A30" s="596" t="inlineStr">
        <is>
          <t>23</t>
        </is>
      </c>
      <c r="B30" s="597">
        <f>'Thông tin hoc sinh'!B25</f>
        <v/>
      </c>
      <c r="C30" s="597">
        <f>'Thông tin hoc sinh'!C25</f>
        <v/>
      </c>
      <c r="D30" s="598">
        <f>DSTN!K32</f>
        <v/>
      </c>
      <c r="E30" s="598">
        <f>DSTN!L32</f>
        <v/>
      </c>
      <c r="F30" s="599" t="n">
        <v>7</v>
      </c>
      <c r="G30" s="600">
        <f>IF(F30&gt;=9,"Xuất sắc",IF(F30&gt;=8,"Giỏi",IF(F30&gt;=7,"Khá",IF(F30&gt;=6,"TB - Khá",IF(F30&gt;=5,"Trung bình","")))))</f>
        <v/>
      </c>
      <c r="H30" s="601" t="n"/>
      <c r="I30" s="595" t="n"/>
    </row>
    <row r="31" ht="18" customFormat="1" customHeight="1" s="588">
      <c r="A31" s="596" t="inlineStr">
        <is>
          <t>24</t>
        </is>
      </c>
      <c r="B31" s="597">
        <f>'Thông tin hoc sinh'!B26</f>
        <v/>
      </c>
      <c r="C31" s="597">
        <f>'Thông tin hoc sinh'!C26</f>
        <v/>
      </c>
      <c r="D31" s="598">
        <f>DSTN!K33</f>
        <v/>
      </c>
      <c r="E31" s="598">
        <f>DSTN!L33</f>
        <v/>
      </c>
      <c r="F31" s="599" t="n">
        <v>7.1</v>
      </c>
      <c r="G31" s="600">
        <f>IF(F31&gt;=9,"Xuất sắc",IF(F31&gt;=8,"Giỏi",IF(F31&gt;=7,"Khá",IF(F31&gt;=6,"TB - Khá",IF(F31&gt;=5,"Trung bình","")))))</f>
        <v/>
      </c>
      <c r="H31" s="601" t="n"/>
      <c r="I31" s="595" t="n"/>
    </row>
    <row r="32" ht="18" customFormat="1" customHeight="1" s="588">
      <c r="A32" s="596" t="inlineStr">
        <is>
          <t>25</t>
        </is>
      </c>
      <c r="B32" s="597">
        <f>'Thông tin hoc sinh'!B27</f>
        <v/>
      </c>
      <c r="C32" s="597">
        <f>'Thông tin hoc sinh'!C27</f>
        <v/>
      </c>
      <c r="D32" s="598">
        <f>DSTN!K34</f>
        <v/>
      </c>
      <c r="E32" s="598">
        <f>DSTN!L34</f>
        <v/>
      </c>
      <c r="F32" s="599" t="n">
        <v>6.4</v>
      </c>
      <c r="G32" s="600">
        <f>IF(F32&gt;=9,"Xuất sắc",IF(F32&gt;=8,"Giỏi",IF(F32&gt;=7,"Khá",IF(F32&gt;=6,"TB - Khá",IF(F32&gt;=5,"Trung bình","")))))</f>
        <v/>
      </c>
      <c r="H32" s="601" t="n"/>
      <c r="I32" s="595" t="n"/>
    </row>
    <row r="33" ht="18" customFormat="1" customHeight="1" s="588">
      <c r="A33" s="596" t="inlineStr">
        <is>
          <t>26</t>
        </is>
      </c>
      <c r="B33" s="597">
        <f>'Thông tin hoc sinh'!B28</f>
        <v/>
      </c>
      <c r="C33" s="597">
        <f>'Thông tin hoc sinh'!C28</f>
        <v/>
      </c>
      <c r="D33" s="598">
        <f>DSTN!K35</f>
        <v/>
      </c>
      <c r="E33" s="598">
        <f>DSTN!L35</f>
        <v/>
      </c>
      <c r="F33" s="599" t="n">
        <v>6.7</v>
      </c>
      <c r="G33" s="600">
        <f>IF(F33&gt;=9,"Xuất sắc",IF(F33&gt;=8,"Giỏi",IF(F33&gt;=7,"Khá",IF(F33&gt;=6,"TB - Khá",IF(F33&gt;=5,"Trung bình","")))))</f>
        <v/>
      </c>
      <c r="H33" s="601" t="n"/>
      <c r="I33" s="595" t="n"/>
    </row>
    <row r="34" ht="18" customFormat="1" customHeight="1" s="588">
      <c r="A34" s="596" t="inlineStr">
        <is>
          <t>27</t>
        </is>
      </c>
      <c r="B34" s="597">
        <f>'Thông tin hoc sinh'!B29</f>
        <v/>
      </c>
      <c r="C34" s="597">
        <f>'Thông tin hoc sinh'!C29</f>
        <v/>
      </c>
      <c r="D34" s="598">
        <f>DSTN!K36</f>
        <v/>
      </c>
      <c r="E34" s="598">
        <f>DSTN!L36</f>
        <v/>
      </c>
      <c r="F34" s="599" t="n">
        <v>6.7</v>
      </c>
      <c r="G34" s="600">
        <f>IF(F34&gt;=9,"Xuất sắc",IF(F34&gt;=8,"Giỏi",IF(F34&gt;=7,"Khá",IF(F34&gt;=6,"TB - Khá",IF(F34&gt;=5,"Trung bình","")))))</f>
        <v/>
      </c>
      <c r="H34" s="601" t="n"/>
      <c r="I34" s="595" t="n"/>
    </row>
    <row r="35" ht="18" customFormat="1" customHeight="1" s="588">
      <c r="A35" s="596" t="inlineStr">
        <is>
          <t>28</t>
        </is>
      </c>
      <c r="B35" s="597">
        <f>'Thông tin hoc sinh'!B30</f>
        <v/>
      </c>
      <c r="C35" s="597">
        <f>'Thông tin hoc sinh'!C30</f>
        <v/>
      </c>
      <c r="D35" s="598">
        <f>DSTN!K37</f>
        <v/>
      </c>
      <c r="E35" s="598">
        <f>DSTN!L37</f>
        <v/>
      </c>
      <c r="F35" s="599" t="n">
        <v>6.6</v>
      </c>
      <c r="G35" s="600">
        <f>IF(F35&gt;=9,"Xuất sắc",IF(F35&gt;=8,"Giỏi",IF(F35&gt;=7,"Khá",IF(F35&gt;=6,"TB - Khá",IF(F35&gt;=5,"Trung bình","")))))</f>
        <v/>
      </c>
      <c r="H35" s="601" t="n"/>
      <c r="I35" s="595" t="n"/>
    </row>
    <row r="36" ht="18" customFormat="1" customHeight="1" s="588">
      <c r="A36" s="596" t="inlineStr">
        <is>
          <t>29</t>
        </is>
      </c>
      <c r="B36" s="597">
        <f>'Thông tin hoc sinh'!B31</f>
        <v/>
      </c>
      <c r="C36" s="597">
        <f>'Thông tin hoc sinh'!C31</f>
        <v/>
      </c>
      <c r="D36" s="598">
        <f>DSTN!K38</f>
        <v/>
      </c>
      <c r="E36" s="598">
        <f>DSTN!L38</f>
        <v/>
      </c>
      <c r="F36" s="599" t="n">
        <v>6.5</v>
      </c>
      <c r="G36" s="600">
        <f>IF(F36&gt;=9,"Xuất sắc",IF(F36&gt;=8,"Giỏi",IF(F36&gt;=7,"Khá",IF(F36&gt;=6,"TB - Khá",IF(F36&gt;=5,"Trung bình","")))))</f>
        <v/>
      </c>
      <c r="H36" s="601" t="n"/>
      <c r="I36" s="595" t="n"/>
    </row>
    <row r="37" ht="18" customFormat="1" customHeight="1" s="588">
      <c r="A37" s="596" t="inlineStr">
        <is>
          <t>30</t>
        </is>
      </c>
      <c r="B37" s="597">
        <f>'Thông tin hoc sinh'!B32</f>
        <v/>
      </c>
      <c r="C37" s="597">
        <f>'Thông tin hoc sinh'!C32</f>
        <v/>
      </c>
      <c r="D37" s="598">
        <f>DSTN!K39</f>
        <v/>
      </c>
      <c r="E37" s="598">
        <f>DSTN!L39</f>
        <v/>
      </c>
      <c r="F37" s="599" t="n">
        <v>8.199999999999999</v>
      </c>
      <c r="G37" s="600">
        <f>IF(F37&gt;=9,"Xuất sắc",IF(F37&gt;=8,"Giỏi",IF(F37&gt;=7,"Khá",IF(F37&gt;=6,"TB - Khá",IF(F37&gt;=5,"Trung bình","")))))</f>
        <v/>
      </c>
      <c r="H37" s="601" t="n"/>
      <c r="I37" s="595" t="n"/>
    </row>
    <row r="38" ht="18" customFormat="1" customHeight="1" s="588">
      <c r="A38" s="596" t="inlineStr">
        <is>
          <t>31</t>
        </is>
      </c>
      <c r="B38" s="597">
        <f>'Thông tin hoc sinh'!B33</f>
        <v/>
      </c>
      <c r="C38" s="597">
        <f>'Thông tin hoc sinh'!C33</f>
        <v/>
      </c>
      <c r="D38" s="598">
        <f>DSTN!K40</f>
        <v/>
      </c>
      <c r="E38" s="598">
        <f>DSTN!L40</f>
        <v/>
      </c>
      <c r="F38" s="599" t="n">
        <v>6.5</v>
      </c>
      <c r="G38" s="600">
        <f>IF(F38&gt;=9,"Xuất sắc",IF(F38&gt;=8,"Giỏi",IF(F38&gt;=7,"Khá",IF(F38&gt;=6,"TB - Khá",IF(F38&gt;=5,"Trung bình","")))))</f>
        <v/>
      </c>
      <c r="H38" s="601" t="n"/>
      <c r="I38" s="595" t="n"/>
    </row>
    <row r="39" ht="18" customFormat="1" customHeight="1" s="588">
      <c r="A39" s="596" t="inlineStr">
        <is>
          <t>32</t>
        </is>
      </c>
      <c r="B39" s="597">
        <f>'Thông tin hoc sinh'!B34</f>
        <v/>
      </c>
      <c r="C39" s="597">
        <f>'Thông tin hoc sinh'!C34</f>
        <v/>
      </c>
      <c r="D39" s="598">
        <f>DSTN!K41</f>
        <v/>
      </c>
      <c r="E39" s="598">
        <f>DSTN!L41</f>
        <v/>
      </c>
      <c r="F39" s="599" t="n">
        <v>6.9</v>
      </c>
      <c r="G39" s="600">
        <f>IF(F39&gt;=9,"Xuất sắc",IF(F39&gt;=8,"Giỏi",IF(F39&gt;=7,"Khá",IF(F39&gt;=6,"TB - Khá",IF(F39&gt;=5,"Trung bình","")))))</f>
        <v/>
      </c>
      <c r="H39" s="601" t="n"/>
      <c r="I39" s="595" t="n"/>
    </row>
    <row r="40" ht="18" customFormat="1" customHeight="1" s="588">
      <c r="A40" s="596" t="inlineStr">
        <is>
          <t>33</t>
        </is>
      </c>
      <c r="B40" s="597">
        <f>'Thông tin hoc sinh'!B35</f>
        <v/>
      </c>
      <c r="C40" s="597">
        <f>'Thông tin hoc sinh'!C35</f>
        <v/>
      </c>
      <c r="D40" s="598">
        <f>DSTN!K42</f>
        <v/>
      </c>
      <c r="E40" s="598">
        <f>DSTN!L42</f>
        <v/>
      </c>
      <c r="F40" s="599" t="n">
        <v>6.9</v>
      </c>
      <c r="G40" s="600">
        <f>IF(F40&gt;=9,"Xuất sắc",IF(F40&gt;=8,"Giỏi",IF(F40&gt;=7,"Khá",IF(F40&gt;=6,"TB - Khá",IF(F40&gt;=5,"Trung bình","")))))</f>
        <v/>
      </c>
      <c r="H40" s="601" t="n"/>
      <c r="I40" s="595" t="n"/>
    </row>
    <row r="41" ht="18" customFormat="1" customHeight="1" s="588">
      <c r="A41" s="596" t="inlineStr">
        <is>
          <t>34</t>
        </is>
      </c>
      <c r="B41" s="597">
        <f>'Thông tin hoc sinh'!B36</f>
        <v/>
      </c>
      <c r="C41" s="597">
        <f>'Thông tin hoc sinh'!C36</f>
        <v/>
      </c>
      <c r="D41" s="598">
        <f>DSTN!K43</f>
        <v/>
      </c>
      <c r="E41" s="598">
        <f>DSTN!L43</f>
        <v/>
      </c>
      <c r="F41" s="599" t="n">
        <v>7.2</v>
      </c>
      <c r="G41" s="600">
        <f>IF(F41&gt;=9,"Xuất sắc",IF(F41&gt;=8,"Giỏi",IF(F41&gt;=7,"Khá",IF(F41&gt;=6,"TB - Khá",IF(F41&gt;=5,"Trung bình","")))))</f>
        <v/>
      </c>
      <c r="H41" s="601" t="n"/>
      <c r="I41" s="595" t="n"/>
    </row>
    <row r="42" ht="18" customFormat="1" customHeight="1" s="588">
      <c r="A42" s="603" t="inlineStr">
        <is>
          <t>35</t>
        </is>
      </c>
      <c r="B42" s="604">
        <f>'Thông tin hoc sinh'!B37</f>
        <v/>
      </c>
      <c r="C42" s="604">
        <f>'Thông tin hoc sinh'!C37</f>
        <v/>
      </c>
      <c r="D42" s="605">
        <f>DSTN!K44</f>
        <v/>
      </c>
      <c r="E42" s="605">
        <f>DSTN!L44</f>
        <v/>
      </c>
      <c r="F42" s="606" t="n">
        <v>6.8</v>
      </c>
      <c r="G42" s="607">
        <f>IF(F42&gt;=9,"Xuất sắc",IF(F42&gt;=8,"Giỏi",IF(F42&gt;=7,"Khá",IF(F42&gt;=6,"TB - Khá",IF(F42&gt;=5,"Trung bình","")))))</f>
        <v/>
      </c>
      <c r="H42" s="608" t="n"/>
      <c r="I42" s="595" t="n"/>
    </row>
    <row r="43" ht="18.75" customFormat="1" customHeight="1" s="577">
      <c r="A43" s="609" t="n"/>
      <c r="B43" s="609" t="n"/>
      <c r="C43" s="610" t="n"/>
      <c r="D43" s="610" t="n"/>
      <c r="E43" s="609" t="n"/>
      <c r="F43" s="609" t="n"/>
      <c r="G43" s="609" t="n"/>
      <c r="H43" s="609" t="n"/>
      <c r="I43" s="334" t="n"/>
    </row>
    <row r="44" ht="9.75" customHeight="1" s="335">
      <c r="A44" s="372" t="n"/>
      <c r="C44" s="372" t="n"/>
      <c r="D44" s="372" t="n"/>
      <c r="G44" s="611" t="n"/>
    </row>
    <row r="45" ht="18.75" customFormat="1" customHeight="1" s="334">
      <c r="B45" s="579" t="inlineStr">
        <is>
          <t>GIÁM ĐỐC</t>
        </is>
      </c>
      <c r="E45" s="334" t="n"/>
      <c r="F45" s="579" t="inlineStr">
        <is>
          <t>TỔ GIÁO VỤ</t>
        </is>
      </c>
    </row>
    <row r="46" ht="18.75" customHeight="1" s="335">
      <c r="A46" s="334" t="n"/>
      <c r="B46" s="334" t="n"/>
      <c r="C46" s="334" t="n"/>
      <c r="D46" s="334" t="n"/>
    </row>
  </sheetData>
  <mergeCells count="10">
    <mergeCell ref="A1:D1"/>
    <mergeCell ref="A4:H4"/>
    <mergeCell ref="A3:H3"/>
    <mergeCell ref="B45:D45"/>
    <mergeCell ref="F45:G45"/>
    <mergeCell ref="J8:L8"/>
    <mergeCell ref="A2:D2"/>
    <mergeCell ref="A5:H5"/>
    <mergeCell ref="E1:H1"/>
    <mergeCell ref="E2:H2"/>
  </mergeCells>
  <printOptions horizontalCentered="0" verticalCentered="0" headings="0" gridLines="0" gridLinesSet="1"/>
  <pageMargins left="0.708333333333333" right="0.379861111111111" top="0.490277777777778" bottom="0.47986111111111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4" activeCellId="0" sqref="J4"/>
    </sheetView>
  </sheetViews>
  <sheetFormatPr baseColWidth="8" defaultColWidth="8.99609375" defaultRowHeight="15.75" zeroHeight="0" outlineLevelRow="0"/>
  <cols>
    <col width="5.5" customWidth="1" style="577" min="1" max="1"/>
    <col width="47.75" customWidth="1" style="577" min="2" max="2"/>
    <col width="12.75" customWidth="1" style="577" min="3" max="3"/>
    <col width="20.62" customWidth="1" style="612" min="4" max="4"/>
    <col width="10.74" customWidth="1" style="612" min="5" max="5"/>
    <col width="10.62" customWidth="1" style="612" min="6" max="6"/>
    <col width="8.99" customWidth="1" style="577" min="7" max="7"/>
    <col width="14.99" customWidth="1" style="577" min="8" max="8"/>
    <col width="12.12" customWidth="1" style="577" min="9" max="10"/>
    <col width="8.99" customWidth="1" style="577" min="11" max="257"/>
  </cols>
  <sheetData>
    <row r="1" ht="15.75" customHeight="1" s="335">
      <c r="B1" s="613" t="inlineStr">
        <is>
          <t>Các nghề đào tạo của đơn vị</t>
        </is>
      </c>
      <c r="E1" s="613" t="n"/>
      <c r="F1" s="613" t="n"/>
      <c r="H1" s="614" t="inlineStr">
        <is>
          <t>Đơn vị hành chính</t>
        </is>
      </c>
    </row>
    <row r="2" ht="15.75" customHeight="1" s="335">
      <c r="A2" s="615" t="inlineStr">
        <is>
          <t>Số
TT</t>
        </is>
      </c>
      <c r="B2" s="616" t="inlineStr">
        <is>
          <t>Tên nghề</t>
        </is>
      </c>
      <c r="C2" s="616" t="inlineStr">
        <is>
          <t>Lĩnh vực</t>
        </is>
      </c>
      <c r="D2" s="615" t="inlineStr">
        <is>
          <t>Thời gian đào tạo
(Tháng)</t>
        </is>
      </c>
      <c r="E2" s="615" t="inlineStr">
        <is>
          <t>Kinh phí đào tạo</t>
        </is>
      </c>
      <c r="F2" s="342" t="n"/>
      <c r="H2" s="617" t="inlineStr">
        <is>
          <t>xã</t>
        </is>
      </c>
      <c r="I2" s="618" t="inlineStr">
        <is>
          <t>Danh mục
các huyện</t>
        </is>
      </c>
      <c r="J2" s="618" t="inlineStr">
        <is>
          <t>Xã/huyện
khó khăn</t>
        </is>
      </c>
    </row>
    <row r="3" ht="37.5" customHeight="1" s="335">
      <c r="A3" s="357" t="n"/>
      <c r="B3" s="357" t="n"/>
      <c r="C3" s="357" t="n"/>
      <c r="D3" s="357" t="n"/>
      <c r="E3" s="618" t="inlineStr">
        <is>
          <t>Xã/huyện
khó khăn</t>
        </is>
      </c>
      <c r="F3" s="618" t="inlineStr">
        <is>
          <t>Xã/huyện
khác</t>
        </is>
      </c>
      <c r="H3" s="357" t="n"/>
      <c r="I3" s="357" t="n"/>
      <c r="J3" s="357" t="n"/>
    </row>
    <row r="4" ht="18.75" customHeight="1" s="335">
      <c r="A4" s="619" t="inlineStr">
        <is>
          <t>01</t>
        </is>
      </c>
      <c r="B4" s="620" t="inlineStr">
        <is>
          <t>Chăm sóc cà phê Vối</t>
        </is>
      </c>
      <c r="C4" s="620" t="inlineStr">
        <is>
          <t>Nông nghiệp</t>
        </is>
      </c>
      <c r="D4" s="621" t="n">
        <v>1</v>
      </c>
      <c r="E4" s="619" t="n"/>
      <c r="F4" s="619" t="n"/>
      <c r="H4" s="622" t="inlineStr">
        <is>
          <t>Văn Lem</t>
        </is>
      </c>
      <c r="I4" s="622" t="inlineStr">
        <is>
          <t>ĐăkTô</t>
        </is>
      </c>
      <c r="J4" s="622" t="n"/>
    </row>
    <row r="5" ht="18.75" customHeight="1" s="335">
      <c r="A5" s="619" t="inlineStr">
        <is>
          <t>02</t>
        </is>
      </c>
      <c r="B5" s="620" t="inlineStr">
        <is>
          <t>Nuôi và phòng trị bệnh cho trâu, bò</t>
        </is>
      </c>
      <c r="C5" s="620" t="inlineStr">
        <is>
          <t>Nông nghiệp</t>
        </is>
      </c>
      <c r="D5" s="621" t="n">
        <v>2</v>
      </c>
      <c r="E5" s="619" t="n"/>
      <c r="F5" s="619" t="n"/>
      <c r="H5" s="622" t="inlineStr">
        <is>
          <t>Ngọk Tụ</t>
        </is>
      </c>
      <c r="I5" s="622" t="inlineStr">
        <is>
          <t>ĐăkTô</t>
        </is>
      </c>
      <c r="J5" s="622" t="n"/>
    </row>
    <row r="6" ht="18.75" customHeight="1" s="335">
      <c r="A6" s="619" t="inlineStr">
        <is>
          <t>03</t>
        </is>
      </c>
      <c r="B6" s="620" t="inlineStr">
        <is>
          <t>Vận hành, sửa chữa máy nông nghiệp</t>
        </is>
      </c>
      <c r="C6" s="620" t="inlineStr">
        <is>
          <t>Phi nông nghiệp</t>
        </is>
      </c>
      <c r="D6" s="621" t="n">
        <v>3</v>
      </c>
      <c r="E6" s="619" t="n"/>
      <c r="F6" s="619" t="n"/>
      <c r="H6" s="622" t="inlineStr">
        <is>
          <t>ĐăkRơNga</t>
        </is>
      </c>
      <c r="I6" s="622" t="inlineStr">
        <is>
          <t>ĐăkTô</t>
        </is>
      </c>
      <c r="J6" s="622" t="n"/>
    </row>
    <row r="7" ht="18.75" customHeight="1" s="335">
      <c r="A7" s="619" t="inlineStr">
        <is>
          <t>04</t>
        </is>
      </c>
      <c r="B7" s="620" t="n"/>
      <c r="C7" s="620" t="n"/>
      <c r="D7" s="621" t="n"/>
      <c r="E7" s="619" t="n"/>
      <c r="F7" s="619" t="n"/>
      <c r="H7" s="622" t="inlineStr">
        <is>
          <t>Diên Bình</t>
        </is>
      </c>
      <c r="I7" s="622" t="inlineStr">
        <is>
          <t>ĐăkTô</t>
        </is>
      </c>
      <c r="J7" s="622" t="n"/>
    </row>
    <row r="8" ht="18.75" customHeight="1" s="335">
      <c r="A8" s="619" t="inlineStr">
        <is>
          <t>05</t>
        </is>
      </c>
      <c r="B8" s="620" t="n"/>
      <c r="C8" s="620" t="n"/>
      <c r="D8" s="621" t="n"/>
      <c r="E8" s="619" t="n"/>
      <c r="F8" s="619" t="n"/>
      <c r="H8" s="622" t="inlineStr">
        <is>
          <t>ĐăkTô</t>
        </is>
      </c>
      <c r="I8" s="622" t="inlineStr">
        <is>
          <t>ĐăkTô</t>
        </is>
      </c>
      <c r="J8" s="622" t="n"/>
    </row>
    <row r="9" ht="18.75" customHeight="1" s="335">
      <c r="A9" s="619" t="inlineStr">
        <is>
          <t>06</t>
        </is>
      </c>
      <c r="B9" s="620" t="n"/>
      <c r="C9" s="620" t="n"/>
      <c r="D9" s="621" t="n"/>
      <c r="E9" s="619" t="n"/>
      <c r="F9" s="619" t="n"/>
      <c r="H9" s="622" t="inlineStr">
        <is>
          <t>ĐăkTrăm</t>
        </is>
      </c>
      <c r="I9" s="622" t="inlineStr">
        <is>
          <t>ĐăkTô</t>
        </is>
      </c>
      <c r="J9" s="622" t="n"/>
    </row>
    <row r="10" ht="18.75" customHeight="1" s="335">
      <c r="A10" s="619" t="inlineStr">
        <is>
          <t>07</t>
        </is>
      </c>
      <c r="B10" s="620" t="n"/>
      <c r="C10" s="620" t="n"/>
      <c r="D10" s="621" t="n"/>
      <c r="E10" s="619" t="n"/>
      <c r="F10" s="619" t="n"/>
      <c r="H10" s="622" t="inlineStr">
        <is>
          <t>Tân Cảnh</t>
        </is>
      </c>
      <c r="I10" s="622" t="inlineStr">
        <is>
          <t>ĐăkTô</t>
        </is>
      </c>
      <c r="J10" s="622" t="n"/>
    </row>
    <row r="11" ht="18.75" customHeight="1" s="335">
      <c r="A11" s="619" t="inlineStr">
        <is>
          <t>08</t>
        </is>
      </c>
      <c r="B11" s="620" t="n"/>
      <c r="C11" s="620" t="n"/>
      <c r="D11" s="621" t="n"/>
      <c r="E11" s="619" t="n"/>
      <c r="F11" s="619" t="n"/>
      <c r="H11" s="622" t="inlineStr">
        <is>
          <t>ĐăkTô</t>
        </is>
      </c>
      <c r="I11" s="622" t="inlineStr">
        <is>
          <t>ĐăkTô</t>
        </is>
      </c>
      <c r="J11" s="622" t="n"/>
    </row>
    <row r="12" ht="18.75" customHeight="1" s="335">
      <c r="A12" s="619" t="inlineStr">
        <is>
          <t>09</t>
        </is>
      </c>
      <c r="B12" s="620" t="n"/>
      <c r="C12" s="620" t="n"/>
      <c r="D12" s="621" t="n"/>
      <c r="E12" s="619" t="n"/>
      <c r="F12" s="619" t="n"/>
      <c r="H12" s="622" t="inlineStr">
        <is>
          <t>Kon Đào</t>
        </is>
      </c>
      <c r="I12" s="622" t="inlineStr">
        <is>
          <t>ĐăkTô</t>
        </is>
      </c>
      <c r="J12" s="622" t="n"/>
    </row>
    <row r="13" ht="18.75" customHeight="1" s="335">
      <c r="A13" s="619" t="inlineStr">
        <is>
          <t>10</t>
        </is>
      </c>
      <c r="B13" s="620" t="n"/>
      <c r="C13" s="620" t="n"/>
      <c r="D13" s="621" t="n"/>
      <c r="E13" s="619" t="n"/>
      <c r="F13" s="619" t="n"/>
      <c r="H13" s="622" t="inlineStr">
        <is>
          <t>TTDN ĐăkTô</t>
        </is>
      </c>
      <c r="I13" s="622" t="inlineStr">
        <is>
          <t>ĐăkTô</t>
        </is>
      </c>
      <c r="J13" s="622" t="n"/>
    </row>
    <row r="14" ht="18.75" customHeight="1" s="335">
      <c r="A14" s="619" t="inlineStr">
        <is>
          <t>11</t>
        </is>
      </c>
      <c r="B14" s="620" t="n"/>
      <c r="C14" s="620" t="n"/>
      <c r="D14" s="621" t="n"/>
      <c r="E14" s="619" t="n"/>
      <c r="F14" s="619" t="n"/>
      <c r="H14" s="622" t="inlineStr">
        <is>
          <t>Pô Kô</t>
        </is>
      </c>
      <c r="I14" s="622" t="inlineStr">
        <is>
          <t>ĐăkTô</t>
        </is>
      </c>
      <c r="J14" s="622" t="n"/>
    </row>
    <row r="15" ht="18.75" customHeight="1" s="335">
      <c r="A15" s="619" t="inlineStr">
        <is>
          <t>12</t>
        </is>
      </c>
      <c r="B15" s="620" t="n"/>
      <c r="C15" s="620" t="n"/>
      <c r="D15" s="621" t="n"/>
      <c r="E15" s="619" t="n"/>
      <c r="F15" s="619" t="n"/>
      <c r="H15" s="622" t="inlineStr">
        <is>
          <t>Đăk Môn</t>
        </is>
      </c>
      <c r="I15" s="622" t="inlineStr">
        <is>
          <t>ĐăkGlei</t>
        </is>
      </c>
      <c r="J15" s="622" t="n"/>
    </row>
    <row r="16" ht="18.75" customHeight="1" s="335">
      <c r="A16" s="619" t="inlineStr">
        <is>
          <t>13</t>
        </is>
      </c>
      <c r="B16" s="620" t="n"/>
      <c r="C16" s="620" t="n"/>
      <c r="D16" s="621" t="n"/>
      <c r="E16" s="619" t="n"/>
      <c r="F16" s="619" t="n"/>
      <c r="H16" s="622" t="inlineStr">
        <is>
          <t>Đăk Long</t>
        </is>
      </c>
      <c r="I16" s="622" t="inlineStr">
        <is>
          <t>ĐăkGlei</t>
        </is>
      </c>
      <c r="J16" s="622" t="n"/>
    </row>
    <row r="17" ht="18.75" customHeight="1" s="335">
      <c r="A17" s="619" t="inlineStr">
        <is>
          <t>14</t>
        </is>
      </c>
      <c r="B17" s="620" t="n"/>
      <c r="C17" s="620" t="n"/>
      <c r="D17" s="621" t="n"/>
      <c r="E17" s="619" t="n"/>
      <c r="F17" s="619" t="n"/>
      <c r="H17" s="622" t="inlineStr">
        <is>
          <t>ĐăkGlei</t>
        </is>
      </c>
      <c r="I17" s="622" t="inlineStr">
        <is>
          <t>ĐăkGlei</t>
        </is>
      </c>
      <c r="J17" s="622" t="n"/>
    </row>
    <row r="18" ht="18.75" customHeight="1" s="335">
      <c r="A18" s="619" t="inlineStr">
        <is>
          <t>15</t>
        </is>
      </c>
      <c r="B18" s="620" t="n"/>
      <c r="C18" s="620" t="n"/>
      <c r="D18" s="621" t="n"/>
      <c r="E18" s="619" t="n"/>
      <c r="F18" s="619" t="n"/>
      <c r="H18" s="622" t="inlineStr">
        <is>
          <t>Đăk Pék</t>
        </is>
      </c>
      <c r="I18" s="622" t="inlineStr">
        <is>
          <t>ĐăkGlei</t>
        </is>
      </c>
      <c r="J18" s="622" t="n"/>
    </row>
    <row r="19" ht="18.75" customHeight="1" s="335">
      <c r="A19" s="619" t="inlineStr">
        <is>
          <t>16</t>
        </is>
      </c>
      <c r="B19" s="620" t="n"/>
      <c r="C19" s="620" t="n"/>
      <c r="D19" s="621" t="n"/>
      <c r="E19" s="619" t="n"/>
      <c r="F19" s="619" t="n"/>
      <c r="H19" s="622" t="inlineStr">
        <is>
          <t>Đăk Choong</t>
        </is>
      </c>
      <c r="I19" s="622" t="inlineStr">
        <is>
          <t>ĐăkGlei</t>
        </is>
      </c>
      <c r="J19" s="622" t="n"/>
    </row>
    <row r="20" ht="18.75" customHeight="1" s="335">
      <c r="A20" s="619" t="inlineStr">
        <is>
          <t>17</t>
        </is>
      </c>
      <c r="B20" s="620" t="n"/>
      <c r="C20" s="620" t="n"/>
      <c r="D20" s="621" t="n"/>
      <c r="E20" s="619" t="n"/>
      <c r="F20" s="619" t="n"/>
      <c r="H20" s="622" t="inlineStr">
        <is>
          <t>ĐăkPlô</t>
        </is>
      </c>
      <c r="I20" s="622" t="inlineStr">
        <is>
          <t>ĐăkGlei</t>
        </is>
      </c>
      <c r="J20" s="622" t="n"/>
    </row>
    <row r="21" ht="18.75" customHeight="1" s="335">
      <c r="A21" s="619" t="inlineStr">
        <is>
          <t>18</t>
        </is>
      </c>
      <c r="B21" s="620" t="n"/>
      <c r="C21" s="620" t="n"/>
      <c r="D21" s="621" t="n"/>
      <c r="E21" s="619" t="n"/>
      <c r="F21" s="619" t="n"/>
      <c r="H21" s="622" t="inlineStr">
        <is>
          <t>Đăk Nhoong</t>
        </is>
      </c>
      <c r="I21" s="622" t="inlineStr">
        <is>
          <t>ĐăkGlei</t>
        </is>
      </c>
      <c r="J21" s="622" t="n"/>
    </row>
    <row r="22" ht="18.75" customHeight="1" s="335">
      <c r="A22" s="619" t="inlineStr">
        <is>
          <t>19</t>
        </is>
      </c>
      <c r="B22" s="620" t="n"/>
      <c r="C22" s="620" t="n"/>
      <c r="D22" s="621" t="n"/>
      <c r="E22" s="619" t="n"/>
      <c r="F22" s="619" t="n"/>
      <c r="H22" s="622" t="inlineStr">
        <is>
          <t>Xốp</t>
        </is>
      </c>
      <c r="I22" s="622" t="inlineStr">
        <is>
          <t>ĐăkGlei</t>
        </is>
      </c>
      <c r="J22" s="622" t="n"/>
    </row>
    <row r="23" ht="18.75" customHeight="1" s="335">
      <c r="A23" s="619" t="inlineStr">
        <is>
          <t>20</t>
        </is>
      </c>
      <c r="B23" s="620" t="n"/>
      <c r="C23" s="620" t="n"/>
      <c r="D23" s="621" t="n"/>
      <c r="E23" s="619" t="n"/>
      <c r="F23" s="619" t="n"/>
      <c r="H23" s="622" t="inlineStr">
        <is>
          <t>Đăk Kroong</t>
        </is>
      </c>
      <c r="I23" s="622" t="inlineStr">
        <is>
          <t>ĐăkGlei</t>
        </is>
      </c>
      <c r="J23" s="622" t="n"/>
    </row>
    <row r="24" ht="18.75" customHeight="1" s="335">
      <c r="A24" s="619" t="inlineStr">
        <is>
          <t>21</t>
        </is>
      </c>
      <c r="B24" s="620" t="n"/>
      <c r="C24" s="620" t="n"/>
      <c r="D24" s="621" t="n"/>
      <c r="E24" s="619" t="n"/>
      <c r="F24" s="619" t="n"/>
      <c r="H24" s="622" t="inlineStr">
        <is>
          <t>Ngọc Linh</t>
        </is>
      </c>
      <c r="I24" s="622" t="inlineStr">
        <is>
          <t>ĐăkGlei</t>
        </is>
      </c>
      <c r="J24" s="622" t="n"/>
    </row>
    <row r="25" ht="18.75" customHeight="1" s="335">
      <c r="A25" s="619" t="inlineStr">
        <is>
          <t>22</t>
        </is>
      </c>
      <c r="B25" s="620" t="n"/>
      <c r="C25" s="620" t="n"/>
      <c r="D25" s="621" t="n"/>
      <c r="E25" s="619" t="n"/>
      <c r="F25" s="619" t="n"/>
      <c r="H25" s="622" t="inlineStr">
        <is>
          <t>Mường Hoong</t>
        </is>
      </c>
      <c r="I25" s="622" t="inlineStr">
        <is>
          <t>ĐăkGlei</t>
        </is>
      </c>
      <c r="J25" s="622" t="n"/>
    </row>
    <row r="26" ht="18.75" customHeight="1" s="335">
      <c r="A26" s="619" t="inlineStr">
        <is>
          <t>23</t>
        </is>
      </c>
      <c r="B26" s="620" t="n"/>
      <c r="C26" s="620" t="n"/>
      <c r="D26" s="621" t="n"/>
      <c r="E26" s="619" t="n"/>
      <c r="F26" s="619" t="n"/>
      <c r="H26" s="622" t="inlineStr">
        <is>
          <t>ĐăkMốt</t>
        </is>
      </c>
      <c r="I26" s="622" t="inlineStr">
        <is>
          <t>Ngọc Hồi</t>
        </is>
      </c>
      <c r="J26" s="622" t="n"/>
    </row>
    <row r="27" ht="18.75" customHeight="1" s="335">
      <c r="A27" s="619" t="inlineStr">
        <is>
          <t>24</t>
        </is>
      </c>
      <c r="B27" s="620" t="n"/>
      <c r="C27" s="620" t="n"/>
      <c r="D27" s="621" t="n"/>
      <c r="E27" s="619" t="n"/>
      <c r="F27" s="619" t="n"/>
      <c r="H27" s="622" t="inlineStr">
        <is>
          <t>PleiKần</t>
        </is>
      </c>
      <c r="I27" s="622" t="inlineStr">
        <is>
          <t>Ngọc Hồi</t>
        </is>
      </c>
      <c r="J27" s="622" t="n"/>
    </row>
    <row r="28" ht="18.75" customHeight="1" s="335">
      <c r="A28" s="619" t="inlineStr">
        <is>
          <t>25</t>
        </is>
      </c>
      <c r="B28" s="620" t="n"/>
      <c r="C28" s="620" t="n"/>
      <c r="D28" s="621" t="n"/>
      <c r="E28" s="619" t="n"/>
      <c r="F28" s="619" t="n"/>
      <c r="H28" s="622" t="inlineStr">
        <is>
          <t>Sa Loong</t>
        </is>
      </c>
      <c r="I28" s="622" t="inlineStr">
        <is>
          <t>Ngọc Hồi</t>
        </is>
      </c>
      <c r="J28" s="622" t="n"/>
    </row>
    <row r="29" ht="18.75" customHeight="1" s="335">
      <c r="A29" s="619" t="inlineStr">
        <is>
          <t>26</t>
        </is>
      </c>
      <c r="B29" s="620" t="n"/>
      <c r="C29" s="620" t="n"/>
      <c r="D29" s="621" t="n"/>
      <c r="E29" s="619" t="n"/>
      <c r="F29" s="619" t="n"/>
      <c r="H29" s="622" t="inlineStr">
        <is>
          <t>Đăk Kan</t>
        </is>
      </c>
      <c r="I29" s="622" t="inlineStr">
        <is>
          <t>Ngọc Hồi</t>
        </is>
      </c>
      <c r="J29" s="622" t="n"/>
    </row>
    <row r="30" ht="18.75" customHeight="1" s="335">
      <c r="A30" s="619" t="inlineStr">
        <is>
          <t>27</t>
        </is>
      </c>
      <c r="B30" s="620" t="n"/>
      <c r="C30" s="620" t="n"/>
      <c r="D30" s="621" t="n"/>
      <c r="E30" s="619" t="n"/>
      <c r="F30" s="619" t="n"/>
      <c r="H30" s="622" t="inlineStr">
        <is>
          <t>Đăk Nông</t>
        </is>
      </c>
      <c r="I30" s="622" t="inlineStr">
        <is>
          <t>Ngọc Hồi</t>
        </is>
      </c>
      <c r="J30" s="622" t="n"/>
    </row>
    <row r="31" ht="18.75" customHeight="1" s="335">
      <c r="A31" s="619" t="inlineStr">
        <is>
          <t>28</t>
        </is>
      </c>
      <c r="B31" s="620" t="n"/>
      <c r="C31" s="620" t="n"/>
      <c r="D31" s="621" t="n"/>
      <c r="E31" s="619" t="n"/>
      <c r="F31" s="619" t="n"/>
      <c r="H31" s="622" t="inlineStr">
        <is>
          <t>Đăk Dục</t>
        </is>
      </c>
      <c r="I31" s="622" t="inlineStr">
        <is>
          <t>Ngọc Hồi</t>
        </is>
      </c>
      <c r="J31" s="622" t="n"/>
    </row>
    <row r="32" ht="18.75" customHeight="1" s="335">
      <c r="A32" s="619" t="inlineStr">
        <is>
          <t>29</t>
        </is>
      </c>
      <c r="B32" s="620" t="n"/>
      <c r="C32" s="620" t="n"/>
      <c r="D32" s="621" t="n"/>
      <c r="E32" s="619" t="n"/>
      <c r="F32" s="619" t="n"/>
      <c r="H32" s="622" t="inlineStr">
        <is>
          <t>Đăk Ang</t>
        </is>
      </c>
      <c r="I32" s="622" t="inlineStr">
        <is>
          <t>Ngọc Hồi</t>
        </is>
      </c>
      <c r="J32" s="622" t="n"/>
    </row>
    <row r="33" ht="18.75" customHeight="1" s="335">
      <c r="A33" s="619" t="inlineStr">
        <is>
          <t>30</t>
        </is>
      </c>
      <c r="B33" s="620" t="n"/>
      <c r="C33" s="620" t="n"/>
      <c r="D33" s="621" t="n"/>
      <c r="E33" s="619" t="n"/>
      <c r="F33" s="619" t="n"/>
      <c r="H33" s="622" t="inlineStr">
        <is>
          <t>Đăk Xú</t>
        </is>
      </c>
      <c r="I33" s="622" t="inlineStr">
        <is>
          <t>Ngọc Hồi</t>
        </is>
      </c>
      <c r="J33" s="622" t="n"/>
    </row>
    <row r="34" ht="18.75" customHeight="1" s="335">
      <c r="H34" s="622" t="inlineStr">
        <is>
          <t>Pờ Y</t>
        </is>
      </c>
      <c r="I34" s="622" t="inlineStr">
        <is>
          <t>Ngọc Hồi</t>
        </is>
      </c>
      <c r="J34" s="622" t="n"/>
    </row>
    <row r="35" ht="18.75" customHeight="1" s="335">
      <c r="A35" s="623" t="inlineStr">
        <is>
          <t>Nhóm đối tượng</t>
        </is>
      </c>
      <c r="B35" s="339" t="n"/>
      <c r="C35" s="339" t="n"/>
      <c r="H35" s="622" t="inlineStr">
        <is>
          <t>ĐăkTờKan</t>
        </is>
      </c>
      <c r="I35" s="622" t="inlineStr">
        <is>
          <t>TuMơRông</t>
        </is>
      </c>
      <c r="J35" s="622" t="n"/>
    </row>
    <row r="36" ht="31.5" customHeight="1" s="335">
      <c r="A36" s="615" t="inlineStr">
        <is>
          <t>Số
TT</t>
        </is>
      </c>
      <c r="B36" s="616" t="inlineStr">
        <is>
          <t>Đối tượng</t>
        </is>
      </c>
      <c r="C36" s="615" t="inlineStr">
        <is>
          <t>Thuộc
nhóm</t>
        </is>
      </c>
      <c r="H36" s="622" t="inlineStr">
        <is>
          <t>ĐăkRơÔng</t>
        </is>
      </c>
      <c r="I36" s="622" t="inlineStr">
        <is>
          <t>TuMơRông</t>
        </is>
      </c>
      <c r="J36" s="622" t="n"/>
    </row>
    <row r="37" ht="18.75" customHeight="1" s="335">
      <c r="A37" s="619" t="n">
        <v>1</v>
      </c>
      <c r="B37" s="624" t="inlineStr">
        <is>
          <t>Người khuyết tật</t>
        </is>
      </c>
      <c r="C37" s="619" t="n">
        <v>1</v>
      </c>
      <c r="H37" s="622" t="inlineStr">
        <is>
          <t>Đăk Sao</t>
        </is>
      </c>
      <c r="I37" s="622" t="inlineStr">
        <is>
          <t>TuMơRông</t>
        </is>
      </c>
      <c r="J37" s="622" t="n"/>
    </row>
    <row r="38" ht="18.75" customHeight="1" s="335">
      <c r="A38" s="619" t="n">
        <v>2</v>
      </c>
      <c r="B38" s="620" t="inlineStr">
        <is>
          <t>Người thuộc hộ dân tộc thiểu số nghèo</t>
        </is>
      </c>
      <c r="C38" s="619" t="n">
        <v>2</v>
      </c>
      <c r="H38" s="622" t="inlineStr">
        <is>
          <t>Đăk Na</t>
        </is>
      </c>
      <c r="I38" s="622" t="inlineStr">
        <is>
          <t>TuMơRông</t>
        </is>
      </c>
      <c r="J38" s="622" t="n"/>
    </row>
    <row r="39" ht="18.75" customHeight="1" s="335">
      <c r="A39" s="619" t="n">
        <v>3</v>
      </c>
      <c r="B39" s="620" t="inlineStr">
        <is>
          <t>Người thuộc hộ nghèo ở các xã, thôn, bản đặc biệt khó khăn</t>
        </is>
      </c>
      <c r="C39" s="619" t="n">
        <v>2</v>
      </c>
      <c r="H39" s="622" t="inlineStr">
        <is>
          <t>Đăk Hà</t>
        </is>
      </c>
      <c r="I39" s="622" t="inlineStr">
        <is>
          <t>TuMơRông</t>
        </is>
      </c>
      <c r="J39" s="622" t="n"/>
    </row>
    <row r="40" ht="18.75" customHeight="1" s="335">
      <c r="A40" s="619" t="n">
        <v>4</v>
      </c>
      <c r="B40" s="620" t="inlineStr">
        <is>
          <t>Người dân tộc thiểu số</t>
        </is>
      </c>
      <c r="C40" s="619" t="n">
        <v>3</v>
      </c>
      <c r="H40" s="622" t="inlineStr">
        <is>
          <t>TuMơ Rông</t>
        </is>
      </c>
      <c r="I40" s="622" t="inlineStr">
        <is>
          <t>TuMơRông</t>
        </is>
      </c>
      <c r="J40" s="622" t="n"/>
    </row>
    <row r="41" ht="18.75" customHeight="1" s="335">
      <c r="A41" s="619" t="n">
        <v>5</v>
      </c>
      <c r="B41" s="620" t="inlineStr">
        <is>
          <t>Người thuộc diện được hưởng chính sách ưu đãi người có công với cách mạng</t>
        </is>
      </c>
      <c r="C41" s="619" t="n">
        <v>3</v>
      </c>
      <c r="H41" s="622" t="inlineStr">
        <is>
          <t>Măng Ri</t>
        </is>
      </c>
      <c r="I41" s="622" t="inlineStr">
        <is>
          <t>TuMơRông</t>
        </is>
      </c>
      <c r="J41" s="622" t="n"/>
    </row>
    <row r="42" ht="18.75" customHeight="1" s="335">
      <c r="A42" s="619" t="n">
        <v>6</v>
      </c>
      <c r="B42" s="620" t="inlineStr">
        <is>
          <t>Người thuộc hộ nghèo</t>
        </is>
      </c>
      <c r="C42" s="619" t="n">
        <v>3</v>
      </c>
      <c r="H42" s="622" t="inlineStr">
        <is>
          <t>Tê Xăng</t>
        </is>
      </c>
      <c r="I42" s="622" t="inlineStr">
        <is>
          <t>TuMơRông</t>
        </is>
      </c>
      <c r="J42" s="622" t="n"/>
    </row>
    <row r="43" ht="18.75" customHeight="1" s="335">
      <c r="A43" s="619" t="n">
        <v>7</v>
      </c>
      <c r="B43" s="620" t="inlineStr">
        <is>
          <t>Người thuộc hộ gia đình bị thu hồi đất nông nghiệp, đất kinh doanh</t>
        </is>
      </c>
      <c r="C43" s="619" t="n">
        <v>3</v>
      </c>
      <c r="H43" s="622" t="inlineStr">
        <is>
          <t>Văn Xuôi</t>
        </is>
      </c>
      <c r="I43" s="622" t="inlineStr">
        <is>
          <t>TuMơRông</t>
        </is>
      </c>
      <c r="J43" s="622" t="n"/>
    </row>
    <row r="44" ht="18.75" customHeight="1" s="335">
      <c r="A44" s="619" t="n">
        <v>8</v>
      </c>
      <c r="B44" s="620" t="inlineStr">
        <is>
          <t>Lao động nữ bị mất việc làm</t>
        </is>
      </c>
      <c r="C44" s="619" t="n">
        <v>3</v>
      </c>
      <c r="H44" s="622" t="n"/>
      <c r="I44" s="622" t="n"/>
      <c r="J44" s="622" t="n"/>
    </row>
    <row r="45" ht="18.75" customHeight="1" s="335">
      <c r="A45" s="619" t="n">
        <v>9</v>
      </c>
      <c r="B45" s="620" t="inlineStr">
        <is>
          <t>Người thuộc hộ cận nghèo</t>
        </is>
      </c>
      <c r="C45" s="619" t="n">
        <v>4</v>
      </c>
      <c r="H45" s="622" t="inlineStr">
        <is>
          <t>Ngọc Lây</t>
        </is>
      </c>
      <c r="I45" s="622" t="inlineStr">
        <is>
          <t>TuMơRông</t>
        </is>
      </c>
      <c r="J45" s="622" t="n"/>
    </row>
    <row r="46" ht="18.75" customHeight="1" s="335">
      <c r="A46" s="619" t="n">
        <v>10</v>
      </c>
      <c r="B46" s="620" t="inlineStr">
        <is>
          <t>Đối tượng lao động nông thôn khác</t>
        </is>
      </c>
      <c r="C46" s="619" t="n">
        <v>5</v>
      </c>
      <c r="H46" s="622" t="inlineStr">
        <is>
          <t>Ngọc Yêu</t>
        </is>
      </c>
      <c r="I46" s="622" t="inlineStr">
        <is>
          <t>TuMơRông</t>
        </is>
      </c>
      <c r="J46" s="622" t="n"/>
    </row>
  </sheetData>
  <mergeCells count="11">
    <mergeCell ref="H1:J1"/>
    <mergeCell ref="H2:H3"/>
    <mergeCell ref="E2:F2"/>
    <mergeCell ref="B1:D1"/>
    <mergeCell ref="C2:C3"/>
    <mergeCell ref="B2:B3"/>
    <mergeCell ref="A2:A3"/>
    <mergeCell ref="A35:C35"/>
    <mergeCell ref="D2:D3"/>
    <mergeCell ref="J2:J3"/>
    <mergeCell ref="I2:I3"/>
  </mergeCells>
  <dataValidations count="1">
    <dataValidation sqref="D4:D33" showDropDown="0" showInputMessage="0" showErrorMessage="1" allowBlank="1" errorTitle="Thông báo" error="Bạn phải nhập số nguyên từ 1 đến 12" type="whole" errorStyle="stop" operator="between">
      <formula1>1</formula1>
      <formula2>12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200888888</dc:creator>
  <dc:language xmlns:dc="http://purl.org/dc/elements/1.1/">en-US</dc:language>
  <dcterms:created xmlns:dcterms="http://purl.org/dc/terms/" xmlns:xsi="http://www.w3.org/2001/XMLSchema-instance" xsi:type="dcterms:W3CDTF">2008-05-02T02:40:00Z</dcterms:created>
  <dcterms:modified xmlns:dcterms="http://purl.org/dc/terms/" xmlns:xsi="http://www.w3.org/2001/XMLSchema-instance" xsi:type="dcterms:W3CDTF">2026-05-29T12:55:07Z</dcterms:modified>
  <cp:lastModifiedBy>MyPC</cp:lastModifiedBy>
  <cp:revision>0</cp:revision>
  <cp:lastPrinted>2018-07-12T03:20:21Z</cp:lastPrinted>
</cp:coreProperties>
</file>